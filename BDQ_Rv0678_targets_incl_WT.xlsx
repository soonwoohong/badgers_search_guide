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oonwoohong/Library/CloudStorage/GoogleDrive-sh5230@princeton.edu/.shortcut-targets-by-id/1fc61rmoxxDIgSxNlbKpHNutryvyYltP4/Soonwoo/python/badgers_search_guide/"/>
    </mc:Choice>
  </mc:AlternateContent>
  <xr:revisionPtr revIDLastSave="0" documentId="8_{7CB7281C-11BC-FD41-82B7-0493357EDCE9}" xr6:coauthVersionLast="47" xr6:coauthVersionMax="47" xr10:uidLastSave="{00000000-0000-0000-0000-000000000000}"/>
  <bookViews>
    <workbookView xWindow="37200" yWindow="3960" windowWidth="29400" windowHeight="18380" xr2:uid="{00000000-000D-0000-FFFF-FFFF00000000}"/>
  </bookViews>
  <sheets>
    <sheet name="Sheet1" sheetId="1" r:id="rId1"/>
  </sheets>
  <definedNames>
    <definedName name="_xlnm._FilterDatabase" localSheetId="0" hidden="1">Sheet1!$A$1:$Q$77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51" i="1"/>
  <c r="B52" i="1"/>
  <c r="B76" i="1"/>
  <c r="B77" i="1"/>
  <c r="B36" i="1"/>
  <c r="B61" i="1"/>
  <c r="B64" i="1"/>
  <c r="B62" i="1"/>
  <c r="B63" i="1"/>
  <c r="B20" i="1"/>
  <c r="B17" i="1"/>
  <c r="B19" i="1"/>
  <c r="B21" i="1"/>
  <c r="B66" i="1"/>
  <c r="B15" i="1"/>
  <c r="B9" i="1"/>
  <c r="B65" i="1"/>
  <c r="B70" i="1"/>
  <c r="B71" i="1"/>
  <c r="B73" i="1"/>
  <c r="B43" i="1"/>
  <c r="B28" i="1"/>
  <c r="B54" i="1"/>
  <c r="B72" i="1"/>
  <c r="B33" i="1"/>
  <c r="B29" i="1"/>
  <c r="B47" i="1"/>
  <c r="B34" i="1"/>
  <c r="B44" i="1"/>
  <c r="B38" i="1"/>
  <c r="B60" i="1"/>
  <c r="B12" i="1"/>
  <c r="B37" i="1"/>
  <c r="B74" i="1"/>
  <c r="B8" i="1"/>
  <c r="B5" i="1"/>
  <c r="B30" i="1"/>
  <c r="B31" i="1"/>
  <c r="B32" i="1"/>
  <c r="B56" i="1"/>
  <c r="B49" i="1"/>
  <c r="B53" i="1"/>
  <c r="B16" i="1"/>
  <c r="B13" i="1"/>
  <c r="B14" i="1"/>
  <c r="B57" i="1"/>
  <c r="B58" i="1"/>
  <c r="B59" i="1"/>
  <c r="B48" i="1"/>
  <c r="B50" i="1"/>
  <c r="B35" i="1"/>
  <c r="B45" i="1"/>
  <c r="B10" i="1"/>
  <c r="B11" i="1"/>
  <c r="B39" i="1"/>
  <c r="B55" i="1"/>
  <c r="B27" i="1"/>
  <c r="B18" i="1"/>
  <c r="B22" i="1"/>
  <c r="B23" i="1"/>
  <c r="B67" i="1"/>
  <c r="B68" i="1"/>
  <c r="B69" i="1"/>
  <c r="B75" i="1"/>
  <c r="B40" i="1"/>
  <c r="B41" i="1"/>
  <c r="B42" i="1"/>
  <c r="B3" i="1"/>
  <c r="B4" i="1"/>
  <c r="B6" i="1"/>
  <c r="B7" i="1"/>
  <c r="B24" i="1"/>
  <c r="B25" i="1"/>
  <c r="B46" i="1"/>
</calcChain>
</file>

<file path=xl/sharedStrings.xml><?xml version="1.0" encoding="utf-8"?>
<sst xmlns="http://schemas.openxmlformats.org/spreadsheetml/2006/main" count="543" uniqueCount="256">
  <si>
    <t>drug</t>
  </si>
  <si>
    <t>gene</t>
  </si>
  <si>
    <t>variant</t>
  </si>
  <si>
    <t>Sens (%)</t>
  </si>
  <si>
    <t>variantName</t>
  </si>
  <si>
    <t>resistantCount</t>
  </si>
  <si>
    <t>susceptbleCount</t>
  </si>
  <si>
    <t>intermediateCount</t>
  </si>
  <si>
    <t>globalFrequency</t>
  </si>
  <si>
    <t>totalCount</t>
  </si>
  <si>
    <t>real_position</t>
  </si>
  <si>
    <t>relative_position_on_gene_frag</t>
  </si>
  <si>
    <t>org_seq</t>
  </si>
  <si>
    <t>mut_seq</t>
  </si>
  <si>
    <t>new_seq</t>
  </si>
  <si>
    <t>Bedaquiline</t>
  </si>
  <si>
    <t>Rv0678</t>
  </si>
  <si>
    <t>Rv0678_p.Glu49fs</t>
  </si>
  <si>
    <t>779130-T-TC</t>
  </si>
  <si>
    <t>T</t>
  </si>
  <si>
    <t>TC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</si>
  <si>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</si>
  <si>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Rv0678_p.Glu113*</t>
  </si>
  <si>
    <t>779326-G-T</t>
  </si>
  <si>
    <t>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</si>
  <si>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T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</si>
  <si>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Rv0678_p.Gly121Arg</t>
  </si>
  <si>
    <t>779350-G-A</t>
  </si>
  <si>
    <t>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</si>
  <si>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A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</si>
  <si>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Rv0678_p.Leu125fs</t>
  </si>
  <si>
    <t>779361-GC-T</t>
  </si>
  <si>
    <t>GC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</si>
  <si>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T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</si>
  <si>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Rv0678_p.Asp165fs</t>
  </si>
  <si>
    <t>779479-G-GAC</t>
  </si>
  <si>
    <t>GAC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</si>
  <si>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</si>
  <si>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779481-C-CGA</t>
  </si>
  <si>
    <t>C</t>
  </si>
  <si>
    <t>CGA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</si>
  <si>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</si>
  <si>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Rv0678_p.Gln76*</t>
  </si>
  <si>
    <t>779215-C-T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</si>
  <si>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T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</si>
  <si>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Rv0678_p.Met146fs</t>
  </si>
  <si>
    <t>779415-G-GTTGGCATATAT</t>
  </si>
  <si>
    <t>GTTGGCATATAT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</si>
  <si>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</si>
  <si>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779420-C-CAT</t>
  </si>
  <si>
    <t>CAT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</si>
  <si>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</si>
  <si>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Rv0678_p.Ala144fs</t>
  </si>
  <si>
    <t>779417-T-TG</t>
  </si>
  <si>
    <t>TG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</si>
  <si>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</si>
  <si>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779417-TG-T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</si>
  <si>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</si>
  <si>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Rv0678_p.Cys46Arg</t>
  </si>
  <si>
    <t>779125-T-C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</si>
  <si>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C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</si>
  <si>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Rv0678_p.Cys46fs</t>
  </si>
  <si>
    <t>779121-GGT-G</t>
  </si>
  <si>
    <t>GGT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</si>
  <si>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</si>
  <si>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779124-GT-G</t>
  </si>
  <si>
    <t>GT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</si>
  <si>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</si>
  <si>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779125-T-TG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</si>
  <si>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</si>
  <si>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Rv0678_p.Tyr145*</t>
  </si>
  <si>
    <t>779424-T-G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</si>
  <si>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G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</si>
  <si>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Rv0678_p.Gly41fs</t>
  </si>
  <si>
    <t>779108-TGG-T</t>
  </si>
  <si>
    <t>TGG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</si>
  <si>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</si>
  <si>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Rv0678_p.Gln22*</t>
  </si>
  <si>
    <t>779053-C-T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</si>
  <si>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T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</si>
  <si>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Rv0678_p.Tyr145fs</t>
  </si>
  <si>
    <t>779420-C-CT</t>
  </si>
  <si>
    <t>CT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</si>
  <si>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T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</si>
  <si>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Rv0678_p.Arg156fs</t>
  </si>
  <si>
    <t>779450-TG-T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</si>
  <si>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</si>
  <si>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779453-G-GC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</si>
  <si>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C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</si>
  <si>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779454-G-GC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</si>
  <si>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</si>
  <si>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Rv0678_p.Arg109fs</t>
  </si>
  <si>
    <t>779313-CCGGG-C</t>
  </si>
  <si>
    <t>CCGGG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</si>
  <si>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</si>
  <si>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Rv0678_p.Glu55fs</t>
  </si>
  <si>
    <t>779150-A-AG</t>
  </si>
  <si>
    <t>AG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</si>
  <si>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</si>
  <si>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Rv0678_p.Arg132fs</t>
  </si>
  <si>
    <t>779381-A-AG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</si>
  <si>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</si>
  <si>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Rv0678_p.Tyr157fs</t>
  </si>
  <si>
    <t>779453-G-GGC</t>
  </si>
  <si>
    <t>GGC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</si>
  <si>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</si>
  <si>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Rv0678_p.Ile67Ser</t>
  </si>
  <si>
    <t>779189-T-G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</si>
  <si>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G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</si>
  <si>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Rv0678_p.Ala62fs</t>
  </si>
  <si>
    <t>779171-C-CG</t>
  </si>
  <si>
    <t>CG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</si>
  <si>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</si>
  <si>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Rv0678_p.Gln115*</t>
  </si>
  <si>
    <t>779332-C-T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</si>
  <si>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T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</si>
  <si>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Rv0678_p.Asn70Asp</t>
  </si>
  <si>
    <t>779197-A-G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</si>
  <si>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G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</si>
  <si>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Rv0678_p.Ala110fs</t>
  </si>
  <si>
    <t>779314-C-CG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</si>
  <si>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</si>
  <si>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Rv0678_p.Tyr92fs</t>
  </si>
  <si>
    <t>779263-T-TA</t>
  </si>
  <si>
    <t>TA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</si>
  <si>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</si>
  <si>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Rv0678_p.Leu142fs</t>
  </si>
  <si>
    <t>779412-T-TC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</si>
  <si>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</si>
  <si>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Rv0678_p.Leu32Ser</t>
  </si>
  <si>
    <t>779084-T-C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</si>
  <si>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C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</si>
  <si>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Rv0678_p.Ile80fs</t>
  </si>
  <si>
    <t>779223-G-GT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</si>
  <si>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</si>
  <si>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Rv0678_p.Arg156*</t>
  </si>
  <si>
    <t>779455-C-T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</si>
  <si>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T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</si>
  <si>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Rv0678_p.Gly11fs</t>
  </si>
  <si>
    <t>779018-TG-T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</si>
  <si>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</si>
  <si>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Rv0678_p.Asp8fs</t>
  </si>
  <si>
    <t>779011-GA-G</t>
  </si>
  <si>
    <t>GA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</si>
  <si>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</si>
  <si>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Rv0678_p.Ile67fs</t>
  </si>
  <si>
    <t>779181-C-CG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</si>
  <si>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</si>
  <si>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779181-CG-C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</si>
  <si>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</si>
  <si>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779186-G-GGA</t>
  </si>
  <si>
    <t>GGA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</si>
  <si>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</si>
  <si>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Rv0678_p.Glu138*</t>
  </si>
  <si>
    <t>779401-G-T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</si>
  <si>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T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</si>
  <si>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Rv0678_p.Leu117fs</t>
  </si>
  <si>
    <t>779336-A-AC</t>
  </si>
  <si>
    <t>AC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</si>
  <si>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</si>
  <si>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Rv0678_p.Pro129fs</t>
  </si>
  <si>
    <t>779371-GC-G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</si>
  <si>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</si>
  <si>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Rv0678_p.Trp42*</t>
  </si>
  <si>
    <t>779115-G-A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</si>
  <si>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A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</si>
  <si>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Rv0678_p.Ala36Val</t>
  </si>
  <si>
    <t>779096-C-T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</si>
  <si>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T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</si>
  <si>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Rv0678_p.Arg38*</t>
  </si>
  <si>
    <t>779101-C-T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</si>
  <si>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T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</si>
  <si>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Rv0678_p.Asp141fs</t>
  </si>
  <si>
    <t>779407-C-CG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</si>
  <si>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</si>
  <si>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779407-CGGGATCTGTT-C</t>
  </si>
  <si>
    <t>CGGGATCTGTT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</si>
  <si>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</si>
  <si>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779410-GATCT-A</t>
  </si>
  <si>
    <t>GATCT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</si>
  <si>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A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</si>
  <si>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Rv0678_p.Asp116fs</t>
  </si>
  <si>
    <t>779333-AG-A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</si>
  <si>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</si>
  <si>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Rv0678_p.Leu117Arg</t>
  </si>
  <si>
    <t>779339-T-G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</si>
  <si>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G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</si>
  <si>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Rv0678_p.Arg72fs</t>
  </si>
  <si>
    <t>779200-GC-G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</si>
  <si>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</si>
  <si>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Rv0678_p.Met111fs</t>
  </si>
  <si>
    <t>779318-CA-C</t>
  </si>
  <si>
    <t>CA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</si>
  <si>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</si>
  <si>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Rv0678_p.Leu32fs</t>
  </si>
  <si>
    <t>779081-G-GTT</t>
  </si>
  <si>
    <t>GTT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</si>
  <si>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</si>
  <si>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779081-GT-G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</si>
  <si>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</si>
  <si>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Rv0678_p.Tyr92*</t>
  </si>
  <si>
    <t>779265-T-A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</si>
  <si>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A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</si>
  <si>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Rv0678_p.Arg132*</t>
  </si>
  <si>
    <t>779383-C-T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</si>
  <si>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T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</si>
  <si>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Rv0678_p.Ser53*</t>
  </si>
  <si>
    <t>779147-C-A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</si>
  <si>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A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</si>
  <si>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Rv0678_p.Asp47fs</t>
  </si>
  <si>
    <t>779121-G-GGT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</si>
  <si>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</si>
  <si>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779127-T-TG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</si>
  <si>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</si>
  <si>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779127-T-TGA</t>
  </si>
  <si>
    <t>TGA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</si>
  <si>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</si>
  <si>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Rv0678_p.Met146Thr</t>
  </si>
  <si>
    <t>779426-T-C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</si>
  <si>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C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</si>
  <si>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Rv0678_p.Asn148fs</t>
  </si>
  <si>
    <t>779430-G-GA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</si>
  <si>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</si>
  <si>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779430-GA-G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</si>
  <si>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</si>
  <si>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Rv0678_p.Tyr157*</t>
  </si>
  <si>
    <t>779460-C-G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</si>
  <si>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G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</si>
  <si>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Rv0678_p.Asn98fs</t>
  </si>
  <si>
    <t>779275-CG-C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</si>
  <si>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</si>
  <si>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779277-GC-G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</si>
  <si>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</si>
  <si>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779280-CA-C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</si>
  <si>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</si>
  <si>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Rv0678_p.Val7fs</t>
  </si>
  <si>
    <t>779004-C-CG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</si>
  <si>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</si>
  <si>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779004-CG-C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</si>
  <si>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</si>
  <si>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Rv0678_p.Met10fs</t>
  </si>
  <si>
    <t>779016-G-GC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</si>
  <si>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C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</si>
  <si>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779017-A-AT</t>
  </si>
  <si>
    <t>AT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</si>
  <si>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</si>
  <si>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Rv0678_p.Pro48fs</t>
  </si>
  <si>
    <t>779127-T-TGATC</t>
  </si>
  <si>
    <t>TGATC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</si>
  <si>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</si>
  <si>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779129-A-ATC</t>
  </si>
  <si>
    <t>ATC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</si>
  <si>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</t>
  </si>
  <si>
    <t>new_name</t>
  </si>
  <si>
    <t>BDQ_Rv0678_0_WT</t>
  </si>
  <si>
    <t>TCGTTGGCCAGTGACTCGCCCTGATTGCCCGCGAGTTTCACCTGAACGTAGGCGGCCTTGCCGTCGCTGCTCTGGGCGCCGGTGGCGGTCAGTGGATCCCCCCAAAAGTCCTGCAAGGACTGGACGTGGGTGGTGTCGGCTTGCAGTCTGCCGATCATCTGGTCGTAAAACGCATGGGCGGCGTCACCGAGCGGCCGCTGGCCCTCCAGCACGATCATCGCCGCGCTGTCGGAGTCTCCCTCCTCGAACACCTTGCCGATGTGTTTCATCGAGATCATCGACGGTGCCGCGTCGGGGCTCATCGACACCGCCTGTATCTGTCCGACCGTTTCCAGTTGCGGCACAGTGACGTTGAGGACGGCGATGGTGACCAACCACCCAAGGATGATCGGCACCGCGAAGGTACGGATCATTCTGGGGATGAACGGTCGCGCCGCGTGCCTGTCGGGCGGGACGGAGCCCGTCGGCGCAGCTGTCCTTTGCACGATCATGCGGATTTCACAAAGCAGTAGGTCAGGGCATCCACGCCGGTTGCGGTCCGCTCGTCCTTCACTTCGCCATCGACGGTGATTCGGCAGGTGATGGAAGTGCCGTCGCCTTGCGCGAGGATGTTGGGGGCCGCGGACGGCGCCGTGGTCTTCAAGGTGAGCGACCACGGCAGGGCTGCGCCGTCGATCCGCTGTGGCTTGGCGTCGAGGTCCAGGTAGTTGATGTTGACGTAACTACCGGAGCCGGAAACTTCGTACTCCACCACCTTGGGGTCGAACGGCTCCGGGTCATCGGCGAAGACCTTCGGCGTCACCAAGATGCCTTCGGAACCAAAGAAAGTGCGGATCCGCTGCACCGTGAAGCCGGCGATGGCGACCACAACCAGGATGAGCAGCGGTATCCAGGCACGCTTGAGAGTTCCAATCATCGCCCTCCGCCTCTGCCGCATGAAGTTCACGCCGGTCTGGTGACGCATACCGAACGTCACAGATTTCAGAGTACAGTGAAACTTGTGAGCGTCAACGACGGGGTCGATCAGATGGGCGCCGAGCCCGACATCATGGAATTCGTCGAACAGATGGGCGGCTATTTCGAGTCCAGGAGTTTGACTCGGTTGGCGGGTCGATTGTTGGGCTGGCTGCTGGTGTGTGATCCCGAGCGGCAGTCCTCGGAGGAACTGGCGACGGCGCTGGCGGCCAGCAGCGGGGGGATCAGCACCAATGCCCGGATGCTGATCCAATTTGGGTTCATTGAGCGGCTCGCGGTCGCCGGGGATCGGCGCACCTATTTCCGGTTGCGGCCCAACGCTTTCGCGGCTGGCGAGCGTGAACGCATCCGGGCAATGGCCGAACTGCAGGACCTGGCTGACGTGGGGCTGAGGGCGCTGGGCGACGCCCCGCCGCAGCGAAGCCGACGGCTGCGGGAGATGCGGGATCTGTTGGCATATATGGAGAACGTCGTCTCCGACGCCCTGGGGCGATACAGCCAGCGAACCGGAGAGGACGACTGATGAGCAACCTCGCAATCTGACCGAGGTGGCGAGCAAGACGGCGATTGGCCTGTGGTCACTCCTTGTTGATGCGGTTGCCCGCGCCGAGGTTATCGATTGTGGGGTCACCGTTTTTGTAGGTGACCGTGTTGTCCAGCCCAACAACAACGAGGCGCTCGTCGATCCTGTCGAAGGCGATCTTGTTGTTCGCACCACCGACGGTCACCGTTTCGCAGGTGCCGTTGACGGTCAGCGTGTTGTCCGAGCCGGCCACGTTCAGTGACTTGCCGTCAGCGCAGTCAAGGGTGGCGGTAGTCCCGATGGATCCGTAGGTCAGCATGTCACCGATCTGGATCGAAGCGGTTGTGGATTCTCCGGTCGTCACGGTCGGCGCCGCGGTCGGGCCGCTCGTCGCTGTCGTGGTGGTGGCGGTCGCGGGCGTCGTGGTAGCTGCCGGCGGGTTGGCAGTGGAACTGCAGCCGGCCAGCGGCAACGCTGCGGCAGCCAGCGCCAGAGCAAAGGTCGCCAACCGGGAGTGGGTAGCGCGATCGGCGCGCAACGGTTTCTCGACCACCTCAGCCGACCCGCTGCAGTCGGTTTACCATTCCTAGTTCCCGGCCACGGTCCCAGATGAACGGATCACCATTGCGGAAGAACACCGTTTCGTCCCAGCCGTAGACGGTGATGTCGTTGATGATCGTGTCGGCGACAACGGTGTTGGACGAGCCCATCACGGTCACCGCCCAGCAGGTTCCCAGCGCGGTCACGATGTTCTGAGTGCCGTTGACCAACAAGGTGGATTCGTTGCAGTCCAGCGTCCGCTCGATGCCCTGCCCGGTGACATGGGTGTCGCCGTTCTTGGCGTGTGCGGCCGGCGGTGGGGCGGCCAAGGCGACAGCGATGGTGATGACACCGGCAGCCAGCGACGCGGCGACGGTGTTCCACTTCACGGCGGGCCCCCCTTCGACTGGGCGGGTGATGCTTGACTGAGCCTTGGTCGGGCCTTGATTGAGCGTACGTG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</si>
</sst>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2" max="2" width="12.33203125" bestFit="1" customWidth="1"/>
  </cols>
  <sheetData>
    <row r="1" spans="1:17" x14ac:dyDescent="0.2">
      <c r="B1" t="s">
        <v>253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">
      <c r="A2" s="4">
        <v>0</v>
      </c>
      <c r="B2" s="3" t="s">
        <v>254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255</v>
      </c>
    </row>
    <row r="3" spans="1:17" x14ac:dyDescent="0.2">
      <c r="A3" s="1">
        <v>1</v>
      </c>
      <c r="B3" s="3" t="str">
        <f>_xlfn.CONCAT("BDQ_Rv0678_",A3)</f>
        <v>BDQ_Rv0678_1</v>
      </c>
      <c r="C3" t="s">
        <v>15</v>
      </c>
      <c r="D3" t="s">
        <v>16</v>
      </c>
      <c r="E3" t="s">
        <v>235</v>
      </c>
      <c r="F3">
        <v>1.06280193236714</v>
      </c>
      <c r="G3" t="s">
        <v>236</v>
      </c>
      <c r="H3">
        <v>0</v>
      </c>
      <c r="I3">
        <v>0</v>
      </c>
      <c r="J3">
        <v>0</v>
      </c>
      <c r="K3">
        <v>0</v>
      </c>
      <c r="L3">
        <v>1</v>
      </c>
      <c r="M3">
        <v>15</v>
      </c>
      <c r="N3">
        <v>1015</v>
      </c>
      <c r="O3" t="s">
        <v>39</v>
      </c>
      <c r="P3" t="s">
        <v>111</v>
      </c>
      <c r="Q3" t="s">
        <v>237</v>
      </c>
    </row>
    <row r="4" spans="1:17" x14ac:dyDescent="0.2">
      <c r="A4" s="1">
        <v>2</v>
      </c>
      <c r="B4" s="3" t="str">
        <f>_xlfn.CONCAT("BDQ_Rv0678_",A4)</f>
        <v>BDQ_Rv0678_2</v>
      </c>
      <c r="C4" t="s">
        <v>15</v>
      </c>
      <c r="D4" t="s">
        <v>16</v>
      </c>
      <c r="E4" t="s">
        <v>235</v>
      </c>
      <c r="F4">
        <v>1.06280193236714</v>
      </c>
      <c r="G4" t="s">
        <v>238</v>
      </c>
      <c r="H4">
        <v>6</v>
      </c>
      <c r="I4">
        <v>0</v>
      </c>
      <c r="J4">
        <v>0</v>
      </c>
      <c r="K4">
        <v>0.02</v>
      </c>
      <c r="L4">
        <v>21</v>
      </c>
      <c r="M4">
        <v>15</v>
      </c>
      <c r="N4">
        <v>1015</v>
      </c>
      <c r="O4" t="s">
        <v>111</v>
      </c>
      <c r="P4" t="s">
        <v>39</v>
      </c>
      <c r="Q4" t="s">
        <v>239</v>
      </c>
    </row>
    <row r="5" spans="1:17" x14ac:dyDescent="0.2">
      <c r="A5" s="1">
        <v>3</v>
      </c>
      <c r="B5" s="3" t="str">
        <f>_xlfn.CONCAT("BDQ_Rv0678_",A5)</f>
        <v>BDQ_Rv0678_3</v>
      </c>
      <c r="C5" t="s">
        <v>15</v>
      </c>
      <c r="D5" t="s">
        <v>16</v>
      </c>
      <c r="E5" t="s">
        <v>141</v>
      </c>
      <c r="F5">
        <v>0</v>
      </c>
      <c r="G5" t="s">
        <v>142</v>
      </c>
      <c r="H5">
        <v>0</v>
      </c>
      <c r="I5">
        <v>0</v>
      </c>
      <c r="J5">
        <v>0</v>
      </c>
      <c r="K5">
        <v>0</v>
      </c>
      <c r="L5">
        <v>1</v>
      </c>
      <c r="M5">
        <v>22</v>
      </c>
      <c r="N5">
        <v>1022</v>
      </c>
      <c r="O5" t="s">
        <v>143</v>
      </c>
      <c r="P5" t="s">
        <v>24</v>
      </c>
      <c r="Q5" t="s">
        <v>144</v>
      </c>
    </row>
    <row r="6" spans="1:17" x14ac:dyDescent="0.2">
      <c r="A6" s="1">
        <v>4</v>
      </c>
      <c r="B6" s="3" t="str">
        <f>_xlfn.CONCAT("BDQ_Rv0678_",A6)</f>
        <v>BDQ_Rv0678_4</v>
      </c>
      <c r="C6" t="s">
        <v>15</v>
      </c>
      <c r="D6" t="s">
        <v>16</v>
      </c>
      <c r="E6" t="s">
        <v>240</v>
      </c>
      <c r="F6">
        <v>0</v>
      </c>
      <c r="G6" t="s">
        <v>241</v>
      </c>
      <c r="H6">
        <v>0</v>
      </c>
      <c r="I6">
        <v>0</v>
      </c>
      <c r="J6">
        <v>0</v>
      </c>
      <c r="K6">
        <v>0</v>
      </c>
      <c r="L6">
        <v>1</v>
      </c>
      <c r="M6">
        <v>27</v>
      </c>
      <c r="N6">
        <v>1027</v>
      </c>
      <c r="O6" t="s">
        <v>24</v>
      </c>
      <c r="P6" t="s">
        <v>32</v>
      </c>
      <c r="Q6" t="s">
        <v>242</v>
      </c>
    </row>
    <row r="7" spans="1:17" x14ac:dyDescent="0.2">
      <c r="A7" s="1">
        <v>5</v>
      </c>
      <c r="B7" s="3" t="str">
        <f>_xlfn.CONCAT("BDQ_Rv0678_",A7)</f>
        <v>BDQ_Rv0678_5</v>
      </c>
      <c r="C7" t="s">
        <v>15</v>
      </c>
      <c r="D7" t="s">
        <v>16</v>
      </c>
      <c r="E7" t="s">
        <v>240</v>
      </c>
      <c r="F7">
        <v>0</v>
      </c>
      <c r="G7" t="s">
        <v>243</v>
      </c>
      <c r="H7">
        <v>0</v>
      </c>
      <c r="I7">
        <v>0</v>
      </c>
      <c r="J7">
        <v>0</v>
      </c>
      <c r="K7">
        <v>0</v>
      </c>
      <c r="L7">
        <v>1</v>
      </c>
      <c r="M7">
        <v>28</v>
      </c>
      <c r="N7">
        <v>1028</v>
      </c>
      <c r="O7" t="s">
        <v>28</v>
      </c>
      <c r="P7" t="s">
        <v>244</v>
      </c>
      <c r="Q7" t="s">
        <v>245</v>
      </c>
    </row>
    <row r="8" spans="1:17" x14ac:dyDescent="0.2">
      <c r="A8" s="1">
        <v>6</v>
      </c>
      <c r="B8" s="3" t="str">
        <f>_xlfn.CONCAT("BDQ_Rv0678_",A8)</f>
        <v>BDQ_Rv0678_6</v>
      </c>
      <c r="C8" t="s">
        <v>15</v>
      </c>
      <c r="D8" t="s">
        <v>16</v>
      </c>
      <c r="E8" t="s">
        <v>138</v>
      </c>
      <c r="F8">
        <v>0</v>
      </c>
      <c r="G8" t="s">
        <v>139</v>
      </c>
      <c r="H8">
        <v>0</v>
      </c>
      <c r="I8">
        <v>0</v>
      </c>
      <c r="J8">
        <v>0</v>
      </c>
      <c r="K8">
        <v>0</v>
      </c>
      <c r="L8">
        <v>4</v>
      </c>
      <c r="M8">
        <v>29</v>
      </c>
      <c r="N8">
        <v>1029</v>
      </c>
      <c r="O8" t="s">
        <v>54</v>
      </c>
      <c r="P8" t="s">
        <v>19</v>
      </c>
      <c r="Q8" t="s">
        <v>140</v>
      </c>
    </row>
    <row r="9" spans="1:17" x14ac:dyDescent="0.2">
      <c r="A9" s="1">
        <v>7</v>
      </c>
      <c r="B9" s="3" t="str">
        <f>_xlfn.CONCAT("BDQ_Rv0678_",A9)</f>
        <v>BDQ_Rv0678_7</v>
      </c>
      <c r="C9" t="s">
        <v>15</v>
      </c>
      <c r="D9" t="s">
        <v>16</v>
      </c>
      <c r="E9" t="s">
        <v>77</v>
      </c>
      <c r="F9">
        <v>0.28985507246376802</v>
      </c>
      <c r="G9" t="s">
        <v>78</v>
      </c>
      <c r="H9">
        <v>0</v>
      </c>
      <c r="I9">
        <v>0</v>
      </c>
      <c r="J9">
        <v>0</v>
      </c>
      <c r="K9">
        <v>0.01</v>
      </c>
      <c r="L9">
        <v>5</v>
      </c>
      <c r="M9">
        <v>64</v>
      </c>
      <c r="N9">
        <v>1064</v>
      </c>
      <c r="O9" t="s">
        <v>39</v>
      </c>
      <c r="P9" t="s">
        <v>19</v>
      </c>
      <c r="Q9" t="s">
        <v>79</v>
      </c>
    </row>
    <row r="10" spans="1:17" x14ac:dyDescent="0.2">
      <c r="A10" s="1">
        <v>8</v>
      </c>
      <c r="B10" s="3" t="str">
        <f>_xlfn.CONCAT("BDQ_Rv0678_",A10)</f>
        <v>BDQ_Rv0678_8</v>
      </c>
      <c r="C10" t="s">
        <v>15</v>
      </c>
      <c r="D10" t="s">
        <v>16</v>
      </c>
      <c r="E10" t="s">
        <v>194</v>
      </c>
      <c r="F10">
        <v>0.38647342995168998</v>
      </c>
      <c r="G10" t="s">
        <v>195</v>
      </c>
      <c r="H10">
        <v>0</v>
      </c>
      <c r="I10">
        <v>0</v>
      </c>
      <c r="J10">
        <v>0</v>
      </c>
      <c r="K10">
        <v>0</v>
      </c>
      <c r="L10">
        <v>2</v>
      </c>
      <c r="M10">
        <v>92</v>
      </c>
      <c r="N10">
        <v>1092</v>
      </c>
      <c r="O10" t="s">
        <v>24</v>
      </c>
      <c r="P10" t="s">
        <v>196</v>
      </c>
      <c r="Q10" t="s">
        <v>197</v>
      </c>
    </row>
    <row r="11" spans="1:17" x14ac:dyDescent="0.2">
      <c r="A11" s="1">
        <v>9</v>
      </c>
      <c r="B11" s="3" t="str">
        <f>_xlfn.CONCAT("BDQ_Rv0678_",A11)</f>
        <v>BDQ_Rv0678_9</v>
      </c>
      <c r="C11" t="s">
        <v>15</v>
      </c>
      <c r="D11" t="s">
        <v>16</v>
      </c>
      <c r="E11" t="s">
        <v>194</v>
      </c>
      <c r="F11">
        <v>0.38647342995168998</v>
      </c>
      <c r="G11" t="s">
        <v>198</v>
      </c>
      <c r="H11">
        <v>0</v>
      </c>
      <c r="I11">
        <v>0</v>
      </c>
      <c r="J11">
        <v>0</v>
      </c>
      <c r="K11">
        <v>0</v>
      </c>
      <c r="L11">
        <v>1</v>
      </c>
      <c r="M11">
        <v>92</v>
      </c>
      <c r="N11">
        <v>1092</v>
      </c>
      <c r="O11" t="s">
        <v>66</v>
      </c>
      <c r="P11" t="s">
        <v>24</v>
      </c>
      <c r="Q11" t="s">
        <v>199</v>
      </c>
    </row>
    <row r="12" spans="1:17" x14ac:dyDescent="0.2">
      <c r="A12" s="1">
        <v>10</v>
      </c>
      <c r="B12" s="3" t="str">
        <f>_xlfn.CONCAT("BDQ_Rv0678_",A12)</f>
        <v>BDQ_Rv0678_10</v>
      </c>
      <c r="C12" t="s">
        <v>15</v>
      </c>
      <c r="D12" t="s">
        <v>16</v>
      </c>
      <c r="E12" t="s">
        <v>129</v>
      </c>
      <c r="F12">
        <v>0.48309178743961301</v>
      </c>
      <c r="G12" t="s">
        <v>130</v>
      </c>
      <c r="H12">
        <v>3</v>
      </c>
      <c r="I12">
        <v>0</v>
      </c>
      <c r="J12">
        <v>0</v>
      </c>
      <c r="K12">
        <v>0.01</v>
      </c>
      <c r="L12">
        <v>8</v>
      </c>
      <c r="M12">
        <v>95</v>
      </c>
      <c r="N12">
        <v>1095</v>
      </c>
      <c r="O12" t="s">
        <v>19</v>
      </c>
      <c r="P12" t="s">
        <v>39</v>
      </c>
      <c r="Q12" t="s">
        <v>131</v>
      </c>
    </row>
    <row r="13" spans="1:17" x14ac:dyDescent="0.2">
      <c r="A13" s="1">
        <v>11</v>
      </c>
      <c r="B13" s="3" t="str">
        <f>_xlfn.CONCAT("BDQ_Rv0678_",A13)</f>
        <v>BDQ_Rv0678_11</v>
      </c>
      <c r="C13" t="s">
        <v>15</v>
      </c>
      <c r="D13" t="s">
        <v>16</v>
      </c>
      <c r="E13" t="s">
        <v>166</v>
      </c>
      <c r="F13">
        <v>0.57971014492753603</v>
      </c>
      <c r="G13" t="s">
        <v>167</v>
      </c>
      <c r="H13">
        <v>0</v>
      </c>
      <c r="I13">
        <v>0</v>
      </c>
      <c r="J13">
        <v>0</v>
      </c>
      <c r="K13">
        <v>0.01</v>
      </c>
      <c r="L13">
        <v>8</v>
      </c>
      <c r="M13">
        <v>107</v>
      </c>
      <c r="N13">
        <v>1107</v>
      </c>
      <c r="O13" t="s">
        <v>39</v>
      </c>
      <c r="P13" t="s">
        <v>19</v>
      </c>
      <c r="Q13" t="s">
        <v>168</v>
      </c>
    </row>
    <row r="14" spans="1:17" x14ac:dyDescent="0.2">
      <c r="A14" s="1">
        <v>12</v>
      </c>
      <c r="B14" s="3" t="str">
        <f>_xlfn.CONCAT("BDQ_Rv0678_",A14)</f>
        <v>BDQ_Rv0678_12</v>
      </c>
      <c r="C14" t="s">
        <v>15</v>
      </c>
      <c r="D14" t="s">
        <v>16</v>
      </c>
      <c r="E14" t="s">
        <v>169</v>
      </c>
      <c r="F14">
        <v>0</v>
      </c>
      <c r="G14" t="s">
        <v>170</v>
      </c>
      <c r="H14">
        <v>0</v>
      </c>
      <c r="I14">
        <v>0</v>
      </c>
      <c r="J14">
        <v>0</v>
      </c>
      <c r="K14">
        <v>0.01</v>
      </c>
      <c r="L14">
        <v>6</v>
      </c>
      <c r="M14">
        <v>112</v>
      </c>
      <c r="N14">
        <v>1112</v>
      </c>
      <c r="O14" t="s">
        <v>39</v>
      </c>
      <c r="P14" t="s">
        <v>19</v>
      </c>
      <c r="Q14" t="s">
        <v>171</v>
      </c>
    </row>
    <row r="15" spans="1:17" x14ac:dyDescent="0.2">
      <c r="A15" s="1">
        <v>13</v>
      </c>
      <c r="B15" s="3" t="str">
        <f>_xlfn.CONCAT("BDQ_Rv0678_",A15)</f>
        <v>BDQ_Rv0678_13</v>
      </c>
      <c r="C15" t="s">
        <v>15</v>
      </c>
      <c r="D15" t="s">
        <v>16</v>
      </c>
      <c r="E15" t="s">
        <v>73</v>
      </c>
      <c r="F15">
        <v>0</v>
      </c>
      <c r="G15" t="s">
        <v>74</v>
      </c>
      <c r="H15">
        <v>0</v>
      </c>
      <c r="I15">
        <v>0</v>
      </c>
      <c r="J15">
        <v>0</v>
      </c>
      <c r="K15">
        <v>0</v>
      </c>
      <c r="L15">
        <v>1</v>
      </c>
      <c r="M15">
        <v>119</v>
      </c>
      <c r="N15">
        <v>1119</v>
      </c>
      <c r="O15" t="s">
        <v>75</v>
      </c>
      <c r="P15" t="s">
        <v>19</v>
      </c>
      <c r="Q15" t="s">
        <v>76</v>
      </c>
    </row>
    <row r="16" spans="1:17" x14ac:dyDescent="0.2">
      <c r="A16" s="1">
        <v>14</v>
      </c>
      <c r="B16" s="3" t="str">
        <f>_xlfn.CONCAT("BDQ_Rv0678_",A16)</f>
        <v>BDQ_Rv0678_14</v>
      </c>
      <c r="C16" t="s">
        <v>15</v>
      </c>
      <c r="D16" t="s">
        <v>16</v>
      </c>
      <c r="E16" t="s">
        <v>163</v>
      </c>
      <c r="F16">
        <v>0.19323671497584499</v>
      </c>
      <c r="G16" t="s">
        <v>164</v>
      </c>
      <c r="H16">
        <v>3</v>
      </c>
      <c r="I16">
        <v>0</v>
      </c>
      <c r="J16">
        <v>0</v>
      </c>
      <c r="K16">
        <v>0</v>
      </c>
      <c r="L16">
        <v>2</v>
      </c>
      <c r="M16">
        <v>126</v>
      </c>
      <c r="N16">
        <v>1126</v>
      </c>
      <c r="O16" t="s">
        <v>24</v>
      </c>
      <c r="P16" t="s">
        <v>28</v>
      </c>
      <c r="Q16" t="s">
        <v>165</v>
      </c>
    </row>
    <row r="17" spans="1:17" x14ac:dyDescent="0.2">
      <c r="A17" s="1">
        <v>15</v>
      </c>
      <c r="B17" s="3" t="str">
        <f>_xlfn.CONCAT("BDQ_Rv0678_",A17)</f>
        <v>BDQ_Rv0678_15</v>
      </c>
      <c r="C17" t="s">
        <v>15</v>
      </c>
      <c r="D17" t="s">
        <v>16</v>
      </c>
      <c r="E17" t="s">
        <v>61</v>
      </c>
      <c r="F17">
        <v>1.06280193236714</v>
      </c>
      <c r="G17" t="s">
        <v>62</v>
      </c>
      <c r="H17">
        <v>3</v>
      </c>
      <c r="I17">
        <v>0</v>
      </c>
      <c r="J17">
        <v>0</v>
      </c>
      <c r="K17">
        <v>0</v>
      </c>
      <c r="L17">
        <v>1</v>
      </c>
      <c r="M17">
        <v>132</v>
      </c>
      <c r="N17">
        <v>1132</v>
      </c>
      <c r="O17" t="s">
        <v>63</v>
      </c>
      <c r="P17" t="s">
        <v>24</v>
      </c>
      <c r="Q17" t="s">
        <v>64</v>
      </c>
    </row>
    <row r="18" spans="1:17" x14ac:dyDescent="0.2">
      <c r="A18" s="1">
        <v>16</v>
      </c>
      <c r="B18" s="3" t="str">
        <f>_xlfn.CONCAT("BDQ_Rv0678_",A18)</f>
        <v>BDQ_Rv0678_16</v>
      </c>
      <c r="C18" t="s">
        <v>15</v>
      </c>
      <c r="D18" t="s">
        <v>16</v>
      </c>
      <c r="E18" t="s">
        <v>209</v>
      </c>
      <c r="F18">
        <v>5.8937198067632801</v>
      </c>
      <c r="G18" t="s">
        <v>210</v>
      </c>
      <c r="H18">
        <v>3</v>
      </c>
      <c r="I18">
        <v>0</v>
      </c>
      <c r="J18">
        <v>0</v>
      </c>
      <c r="K18">
        <v>0.01</v>
      </c>
      <c r="L18">
        <v>9</v>
      </c>
      <c r="M18">
        <v>132</v>
      </c>
      <c r="N18">
        <v>1132</v>
      </c>
      <c r="O18" t="s">
        <v>24</v>
      </c>
      <c r="P18" t="s">
        <v>63</v>
      </c>
      <c r="Q18" t="s">
        <v>211</v>
      </c>
    </row>
    <row r="19" spans="1:17" x14ac:dyDescent="0.2">
      <c r="A19" s="1">
        <v>17</v>
      </c>
      <c r="B19" s="3" t="str">
        <f>_xlfn.CONCAT("BDQ_Rv0678_",A19)</f>
        <v>BDQ_Rv0678_17</v>
      </c>
      <c r="C19" t="s">
        <v>15</v>
      </c>
      <c r="D19" t="s">
        <v>16</v>
      </c>
      <c r="E19" t="s">
        <v>61</v>
      </c>
      <c r="F19">
        <v>1.06280193236714</v>
      </c>
      <c r="G19" t="s">
        <v>65</v>
      </c>
      <c r="H19">
        <v>0</v>
      </c>
      <c r="I19">
        <v>0</v>
      </c>
      <c r="J19">
        <v>0</v>
      </c>
      <c r="K19">
        <v>0</v>
      </c>
      <c r="L19">
        <v>4</v>
      </c>
      <c r="M19">
        <v>135</v>
      </c>
      <c r="N19">
        <v>1135</v>
      </c>
      <c r="O19" t="s">
        <v>66</v>
      </c>
      <c r="P19" t="s">
        <v>24</v>
      </c>
      <c r="Q19" t="s">
        <v>67</v>
      </c>
    </row>
    <row r="20" spans="1:17" x14ac:dyDescent="0.2">
      <c r="A20" s="1">
        <v>18</v>
      </c>
      <c r="B20" s="3" t="str">
        <f>_xlfn.CONCAT("BDQ_Rv0678_",A20)</f>
        <v>BDQ_Rv0678_18</v>
      </c>
      <c r="C20" t="s">
        <v>15</v>
      </c>
      <c r="D20" t="s">
        <v>16</v>
      </c>
      <c r="E20" t="s">
        <v>58</v>
      </c>
      <c r="F20">
        <v>0.86956521739130399</v>
      </c>
      <c r="G20" t="s">
        <v>59</v>
      </c>
      <c r="H20">
        <v>0</v>
      </c>
      <c r="I20">
        <v>0</v>
      </c>
      <c r="J20">
        <v>0</v>
      </c>
      <c r="K20">
        <v>0.01</v>
      </c>
      <c r="L20">
        <v>11</v>
      </c>
      <c r="M20">
        <v>136</v>
      </c>
      <c r="N20">
        <v>1136</v>
      </c>
      <c r="O20" t="s">
        <v>19</v>
      </c>
      <c r="P20" t="s">
        <v>39</v>
      </c>
      <c r="Q20" t="s">
        <v>60</v>
      </c>
    </row>
    <row r="21" spans="1:17" x14ac:dyDescent="0.2">
      <c r="A21" s="1">
        <v>19</v>
      </c>
      <c r="B21" s="3" t="str">
        <f>_xlfn.CONCAT("BDQ_Rv0678_",A21)</f>
        <v>BDQ_Rv0678_19</v>
      </c>
      <c r="C21" t="s">
        <v>15</v>
      </c>
      <c r="D21" t="s">
        <v>16</v>
      </c>
      <c r="E21" t="s">
        <v>61</v>
      </c>
      <c r="F21">
        <v>1.06280193236714</v>
      </c>
      <c r="G21" t="s">
        <v>68</v>
      </c>
      <c r="H21">
        <v>0</v>
      </c>
      <c r="I21">
        <v>0</v>
      </c>
      <c r="J21">
        <v>0</v>
      </c>
      <c r="K21">
        <v>0.01</v>
      </c>
      <c r="L21">
        <v>9</v>
      </c>
      <c r="M21">
        <v>136</v>
      </c>
      <c r="N21">
        <v>1136</v>
      </c>
      <c r="O21" t="s">
        <v>19</v>
      </c>
      <c r="P21" t="s">
        <v>54</v>
      </c>
      <c r="Q21" t="s">
        <v>69</v>
      </c>
    </row>
    <row r="22" spans="1:17" x14ac:dyDescent="0.2">
      <c r="A22" s="1">
        <v>20</v>
      </c>
      <c r="B22" s="3" t="str">
        <f>_xlfn.CONCAT("BDQ_Rv0678_",A22)</f>
        <v>BDQ_Rv0678_20</v>
      </c>
      <c r="C22" t="s">
        <v>15</v>
      </c>
      <c r="D22" t="s">
        <v>16</v>
      </c>
      <c r="E22" t="s">
        <v>209</v>
      </c>
      <c r="F22">
        <v>5.8937198067632801</v>
      </c>
      <c r="G22" t="s">
        <v>212</v>
      </c>
      <c r="H22">
        <v>6</v>
      </c>
      <c r="I22">
        <v>0</v>
      </c>
      <c r="J22">
        <v>0</v>
      </c>
      <c r="K22">
        <v>0.08</v>
      </c>
      <c r="L22">
        <v>74</v>
      </c>
      <c r="M22">
        <v>138</v>
      </c>
      <c r="N22">
        <v>1138</v>
      </c>
      <c r="O22" t="s">
        <v>19</v>
      </c>
      <c r="P22" t="s">
        <v>54</v>
      </c>
      <c r="Q22" t="s">
        <v>213</v>
      </c>
    </row>
    <row r="23" spans="1:17" x14ac:dyDescent="0.2">
      <c r="A23" s="1">
        <v>21</v>
      </c>
      <c r="B23" s="3" t="str">
        <f>_xlfn.CONCAT("BDQ_Rv0678_",A23)</f>
        <v>BDQ_Rv0678_21</v>
      </c>
      <c r="C23" t="s">
        <v>15</v>
      </c>
      <c r="D23" t="s">
        <v>16</v>
      </c>
      <c r="E23" t="s">
        <v>209</v>
      </c>
      <c r="F23">
        <v>5.8937198067632801</v>
      </c>
      <c r="G23" t="s">
        <v>214</v>
      </c>
      <c r="H23">
        <v>0</v>
      </c>
      <c r="I23">
        <v>0</v>
      </c>
      <c r="J23">
        <v>0</v>
      </c>
      <c r="K23">
        <v>0.01</v>
      </c>
      <c r="L23">
        <v>8</v>
      </c>
      <c r="M23">
        <v>138</v>
      </c>
      <c r="N23">
        <v>1138</v>
      </c>
      <c r="O23" t="s">
        <v>19</v>
      </c>
      <c r="P23" t="s">
        <v>215</v>
      </c>
      <c r="Q23" t="s">
        <v>216</v>
      </c>
    </row>
    <row r="24" spans="1:17" x14ac:dyDescent="0.2">
      <c r="A24" s="1">
        <v>22</v>
      </c>
      <c r="B24" s="3" t="str">
        <f>_xlfn.CONCAT("BDQ_Rv0678_",A24)</f>
        <v>BDQ_Rv0678_22</v>
      </c>
      <c r="C24" t="s">
        <v>15</v>
      </c>
      <c r="D24" t="s">
        <v>16</v>
      </c>
      <c r="E24" t="s">
        <v>246</v>
      </c>
      <c r="F24">
        <v>1.64251207729468</v>
      </c>
      <c r="G24" t="s">
        <v>247</v>
      </c>
      <c r="H24">
        <v>0</v>
      </c>
      <c r="I24">
        <v>0</v>
      </c>
      <c r="J24">
        <v>0</v>
      </c>
      <c r="K24">
        <v>0</v>
      </c>
      <c r="L24">
        <v>4</v>
      </c>
      <c r="M24">
        <v>138</v>
      </c>
      <c r="N24">
        <v>1138</v>
      </c>
      <c r="O24" t="s">
        <v>19</v>
      </c>
      <c r="P24" t="s">
        <v>248</v>
      </c>
      <c r="Q24" t="s">
        <v>249</v>
      </c>
    </row>
    <row r="25" spans="1:17" x14ac:dyDescent="0.2">
      <c r="A25" s="1">
        <v>23</v>
      </c>
      <c r="B25" s="3" t="str">
        <f>_xlfn.CONCAT("BDQ_Rv0678_",A25)</f>
        <v>BDQ_Rv0678_23</v>
      </c>
      <c r="C25" t="s">
        <v>15</v>
      </c>
      <c r="D25" t="s">
        <v>16</v>
      </c>
      <c r="E25" t="s">
        <v>246</v>
      </c>
      <c r="F25">
        <v>1.64251207729468</v>
      </c>
      <c r="G25" t="s">
        <v>250</v>
      </c>
      <c r="H25">
        <v>0</v>
      </c>
      <c r="I25">
        <v>0</v>
      </c>
      <c r="J25">
        <v>0</v>
      </c>
      <c r="K25">
        <v>0.02</v>
      </c>
      <c r="L25">
        <v>14</v>
      </c>
      <c r="M25">
        <v>140</v>
      </c>
      <c r="N25">
        <v>1140</v>
      </c>
      <c r="O25" t="s">
        <v>28</v>
      </c>
      <c r="P25" t="s">
        <v>251</v>
      </c>
      <c r="Q25" t="s">
        <v>252</v>
      </c>
    </row>
    <row r="26" spans="1:17" x14ac:dyDescent="0.2">
      <c r="A26" s="1">
        <v>24</v>
      </c>
      <c r="B26" s="3" t="str">
        <f>_xlfn.CONCAT("BDQ_Rv0678_",A26)</f>
        <v>BDQ_Rv0678_24</v>
      </c>
      <c r="C26" t="s">
        <v>15</v>
      </c>
      <c r="D26" t="s">
        <v>16</v>
      </c>
      <c r="E26" t="s">
        <v>17</v>
      </c>
      <c r="F26">
        <v>13.719806763285</v>
      </c>
      <c r="G26" t="s">
        <v>18</v>
      </c>
      <c r="H26">
        <v>27</v>
      </c>
      <c r="I26">
        <v>3</v>
      </c>
      <c r="J26">
        <v>0</v>
      </c>
      <c r="K26">
        <v>0.2</v>
      </c>
      <c r="L26">
        <v>172</v>
      </c>
      <c r="M26">
        <v>141</v>
      </c>
      <c r="N26">
        <v>1141</v>
      </c>
      <c r="O26" t="s">
        <v>19</v>
      </c>
      <c r="P26" t="s">
        <v>20</v>
      </c>
      <c r="Q26" t="s">
        <v>21</v>
      </c>
    </row>
    <row r="27" spans="1:17" x14ac:dyDescent="0.2">
      <c r="A27" s="1">
        <v>25</v>
      </c>
      <c r="B27" s="3" t="str">
        <f>_xlfn.CONCAT("BDQ_Rv0678_",A27)</f>
        <v>BDQ_Rv0678_25</v>
      </c>
      <c r="C27" t="s">
        <v>15</v>
      </c>
      <c r="D27" t="s">
        <v>16</v>
      </c>
      <c r="E27" t="s">
        <v>206</v>
      </c>
      <c r="F27">
        <v>9.6618357487922704E-2</v>
      </c>
      <c r="G27" t="s">
        <v>207</v>
      </c>
      <c r="H27">
        <v>0</v>
      </c>
      <c r="I27">
        <v>0</v>
      </c>
      <c r="J27">
        <v>0</v>
      </c>
      <c r="K27">
        <v>0</v>
      </c>
      <c r="L27">
        <v>1</v>
      </c>
      <c r="M27">
        <v>158</v>
      </c>
      <c r="N27">
        <v>1158</v>
      </c>
      <c r="O27" t="s">
        <v>39</v>
      </c>
      <c r="P27" t="s">
        <v>28</v>
      </c>
      <c r="Q27" t="s">
        <v>208</v>
      </c>
    </row>
    <row r="28" spans="1:17" x14ac:dyDescent="0.2">
      <c r="A28" s="1">
        <v>26</v>
      </c>
      <c r="B28" s="3" t="str">
        <f>_xlfn.CONCAT("BDQ_Rv0678_",A28)</f>
        <v>BDQ_Rv0678_26</v>
      </c>
      <c r="C28" t="s">
        <v>15</v>
      </c>
      <c r="D28" t="s">
        <v>16</v>
      </c>
      <c r="E28" t="s">
        <v>95</v>
      </c>
      <c r="F28">
        <v>9.6618357487922704E-2</v>
      </c>
      <c r="G28" t="s">
        <v>96</v>
      </c>
      <c r="H28">
        <v>0</v>
      </c>
      <c r="I28">
        <v>0</v>
      </c>
      <c r="J28">
        <v>0</v>
      </c>
      <c r="K28">
        <v>0</v>
      </c>
      <c r="L28">
        <v>1</v>
      </c>
      <c r="M28">
        <v>161</v>
      </c>
      <c r="N28">
        <v>1161</v>
      </c>
      <c r="O28" t="s">
        <v>28</v>
      </c>
      <c r="P28" t="s">
        <v>97</v>
      </c>
      <c r="Q28" t="s">
        <v>98</v>
      </c>
    </row>
    <row r="29" spans="1:17" x14ac:dyDescent="0.2">
      <c r="A29" s="1">
        <v>27</v>
      </c>
      <c r="B29" s="3" t="str">
        <f>_xlfn.CONCAT("BDQ_Rv0678_",A29)</f>
        <v>BDQ_Rv0678_27</v>
      </c>
      <c r="C29" t="s">
        <v>15</v>
      </c>
      <c r="D29" t="s">
        <v>16</v>
      </c>
      <c r="E29" t="s">
        <v>109</v>
      </c>
      <c r="F29">
        <v>9.6618357487922704E-2</v>
      </c>
      <c r="G29" t="s">
        <v>110</v>
      </c>
      <c r="H29">
        <v>0</v>
      </c>
      <c r="I29">
        <v>0</v>
      </c>
      <c r="J29">
        <v>0</v>
      </c>
      <c r="K29">
        <v>0</v>
      </c>
      <c r="L29">
        <v>1</v>
      </c>
      <c r="M29">
        <v>182</v>
      </c>
      <c r="N29">
        <v>1182</v>
      </c>
      <c r="O29" t="s">
        <v>39</v>
      </c>
      <c r="P29" t="s">
        <v>111</v>
      </c>
      <c r="Q29" t="s">
        <v>112</v>
      </c>
    </row>
    <row r="30" spans="1:17" x14ac:dyDescent="0.2">
      <c r="A30" s="1">
        <v>28</v>
      </c>
      <c r="B30" s="3" t="str">
        <f>_xlfn.CONCAT("BDQ_Rv0678_",A30)</f>
        <v>BDQ_Rv0678_28</v>
      </c>
      <c r="C30" t="s">
        <v>15</v>
      </c>
      <c r="D30" t="s">
        <v>16</v>
      </c>
      <c r="E30" t="s">
        <v>145</v>
      </c>
      <c r="F30">
        <v>5.0241545893719799</v>
      </c>
      <c r="G30" t="s">
        <v>146</v>
      </c>
      <c r="H30">
        <v>3</v>
      </c>
      <c r="I30">
        <v>3</v>
      </c>
      <c r="J30">
        <v>0</v>
      </c>
      <c r="K30">
        <v>0.15</v>
      </c>
      <c r="L30">
        <v>129</v>
      </c>
      <c r="M30">
        <v>192</v>
      </c>
      <c r="N30">
        <v>1192</v>
      </c>
      <c r="O30" t="s">
        <v>39</v>
      </c>
      <c r="P30" t="s">
        <v>111</v>
      </c>
      <c r="Q30" t="s">
        <v>147</v>
      </c>
    </row>
    <row r="31" spans="1:17" x14ac:dyDescent="0.2">
      <c r="A31" s="1">
        <v>29</v>
      </c>
      <c r="B31" s="3" t="str">
        <f>_xlfn.CONCAT("BDQ_Rv0678_",A31)</f>
        <v>BDQ_Rv0678_29</v>
      </c>
      <c r="C31" t="s">
        <v>15</v>
      </c>
      <c r="D31" t="s">
        <v>16</v>
      </c>
      <c r="E31" t="s">
        <v>145</v>
      </c>
      <c r="F31">
        <v>5.0241545893719799</v>
      </c>
      <c r="G31" t="s">
        <v>148</v>
      </c>
      <c r="H31">
        <v>12</v>
      </c>
      <c r="I31">
        <v>15</v>
      </c>
      <c r="J31">
        <v>0</v>
      </c>
      <c r="K31">
        <v>7.0000000000000007E-2</v>
      </c>
      <c r="L31">
        <v>65</v>
      </c>
      <c r="M31">
        <v>192</v>
      </c>
      <c r="N31">
        <v>1192</v>
      </c>
      <c r="O31" t="s">
        <v>111</v>
      </c>
      <c r="P31" t="s">
        <v>39</v>
      </c>
      <c r="Q31" t="s">
        <v>149</v>
      </c>
    </row>
    <row r="32" spans="1:17" x14ac:dyDescent="0.2">
      <c r="A32" s="1">
        <v>30</v>
      </c>
      <c r="B32" s="3" t="str">
        <f>_xlfn.CONCAT("BDQ_Rv0678_",A32)</f>
        <v>BDQ_Rv0678_30</v>
      </c>
      <c r="C32" t="s">
        <v>15</v>
      </c>
      <c r="D32" t="s">
        <v>16</v>
      </c>
      <c r="E32" t="s">
        <v>145</v>
      </c>
      <c r="F32">
        <v>5.0241545893719799</v>
      </c>
      <c r="G32" t="s">
        <v>150</v>
      </c>
      <c r="H32">
        <v>0</v>
      </c>
      <c r="I32">
        <v>3</v>
      </c>
      <c r="J32">
        <v>0</v>
      </c>
      <c r="K32">
        <v>0</v>
      </c>
      <c r="L32">
        <v>2</v>
      </c>
      <c r="M32">
        <v>197</v>
      </c>
      <c r="N32">
        <v>1197</v>
      </c>
      <c r="O32" t="s">
        <v>24</v>
      </c>
      <c r="P32" t="s">
        <v>151</v>
      </c>
      <c r="Q32" t="s">
        <v>152</v>
      </c>
    </row>
    <row r="33" spans="1:17" x14ac:dyDescent="0.2">
      <c r="A33" s="1">
        <v>31</v>
      </c>
      <c r="B33" s="3" t="str">
        <f>_xlfn.CONCAT("BDQ_Rv0678_",A33)</f>
        <v>BDQ_Rv0678_31</v>
      </c>
      <c r="C33" t="s">
        <v>15</v>
      </c>
      <c r="D33" t="s">
        <v>16</v>
      </c>
      <c r="E33" t="s">
        <v>106</v>
      </c>
      <c r="F33">
        <v>1.1594202898550701</v>
      </c>
      <c r="G33" t="s">
        <v>107</v>
      </c>
      <c r="H33">
        <v>0</v>
      </c>
      <c r="I33">
        <v>0</v>
      </c>
      <c r="J33">
        <v>0</v>
      </c>
      <c r="K33">
        <v>0</v>
      </c>
      <c r="L33">
        <v>2</v>
      </c>
      <c r="M33">
        <v>200</v>
      </c>
      <c r="N33">
        <v>1200</v>
      </c>
      <c r="O33" t="s">
        <v>19</v>
      </c>
      <c r="P33" t="s">
        <v>24</v>
      </c>
      <c r="Q33" t="s">
        <v>108</v>
      </c>
    </row>
    <row r="34" spans="1:17" x14ac:dyDescent="0.2">
      <c r="A34" s="1">
        <v>32</v>
      </c>
      <c r="B34" s="3" t="str">
        <f>_xlfn.CONCAT("BDQ_Rv0678_",A34)</f>
        <v>BDQ_Rv0678_32</v>
      </c>
      <c r="C34" t="s">
        <v>15</v>
      </c>
      <c r="D34" t="s">
        <v>16</v>
      </c>
      <c r="E34" t="s">
        <v>116</v>
      </c>
      <c r="F34">
        <v>0.57971014492753603</v>
      </c>
      <c r="G34" t="s">
        <v>117</v>
      </c>
      <c r="H34">
        <v>0</v>
      </c>
      <c r="I34">
        <v>0</v>
      </c>
      <c r="J34">
        <v>0</v>
      </c>
      <c r="K34">
        <v>0</v>
      </c>
      <c r="L34">
        <v>3</v>
      </c>
      <c r="M34">
        <v>208</v>
      </c>
      <c r="N34">
        <v>1208</v>
      </c>
      <c r="O34" t="s">
        <v>28</v>
      </c>
      <c r="P34" t="s">
        <v>24</v>
      </c>
      <c r="Q34" t="s">
        <v>118</v>
      </c>
    </row>
    <row r="35" spans="1:17" x14ac:dyDescent="0.2">
      <c r="A35" s="1">
        <v>33</v>
      </c>
      <c r="B35" s="3" t="str">
        <f>_xlfn.CONCAT("BDQ_Rv0678_",A35)</f>
        <v>BDQ_Rv0678_33</v>
      </c>
      <c r="C35" t="s">
        <v>15</v>
      </c>
      <c r="D35" t="s">
        <v>16</v>
      </c>
      <c r="E35" t="s">
        <v>187</v>
      </c>
      <c r="F35">
        <v>0</v>
      </c>
      <c r="G35" t="s">
        <v>188</v>
      </c>
      <c r="H35">
        <v>0</v>
      </c>
      <c r="I35">
        <v>0</v>
      </c>
      <c r="J35">
        <v>0</v>
      </c>
      <c r="K35">
        <v>0.01</v>
      </c>
      <c r="L35">
        <v>11</v>
      </c>
      <c r="M35">
        <v>211</v>
      </c>
      <c r="N35">
        <v>1211</v>
      </c>
      <c r="O35" t="s">
        <v>32</v>
      </c>
      <c r="P35" t="s">
        <v>24</v>
      </c>
      <c r="Q35" t="s">
        <v>189</v>
      </c>
    </row>
    <row r="36" spans="1:17" x14ac:dyDescent="0.2">
      <c r="A36" s="1">
        <v>34</v>
      </c>
      <c r="B36" s="3" t="str">
        <f>_xlfn.CONCAT("BDQ_Rv0678_",A36)</f>
        <v>BDQ_Rv0678_34</v>
      </c>
      <c r="C36" t="s">
        <v>15</v>
      </c>
      <c r="D36" t="s">
        <v>16</v>
      </c>
      <c r="E36" t="s">
        <v>42</v>
      </c>
      <c r="F36">
        <v>0.19323671497584499</v>
      </c>
      <c r="G36" t="s">
        <v>43</v>
      </c>
      <c r="H36">
        <v>3</v>
      </c>
      <c r="I36">
        <v>0</v>
      </c>
      <c r="J36">
        <v>0</v>
      </c>
      <c r="K36">
        <v>0</v>
      </c>
      <c r="L36">
        <v>2</v>
      </c>
      <c r="M36">
        <v>226</v>
      </c>
      <c r="N36">
        <v>1226</v>
      </c>
      <c r="O36" t="s">
        <v>39</v>
      </c>
      <c r="P36" t="s">
        <v>19</v>
      </c>
      <c r="Q36" t="s">
        <v>44</v>
      </c>
    </row>
    <row r="37" spans="1:17" x14ac:dyDescent="0.2">
      <c r="A37" s="1">
        <v>35</v>
      </c>
      <c r="B37" s="3" t="str">
        <f>_xlfn.CONCAT("BDQ_Rv0678_",A37)</f>
        <v>BDQ_Rv0678_35</v>
      </c>
      <c r="C37" t="s">
        <v>15</v>
      </c>
      <c r="D37" t="s">
        <v>16</v>
      </c>
      <c r="E37" t="s">
        <v>132</v>
      </c>
      <c r="F37">
        <v>0</v>
      </c>
      <c r="G37" t="s">
        <v>133</v>
      </c>
      <c r="H37">
        <v>0</v>
      </c>
      <c r="I37">
        <v>0</v>
      </c>
      <c r="J37">
        <v>0</v>
      </c>
      <c r="K37">
        <v>0</v>
      </c>
      <c r="L37">
        <v>3</v>
      </c>
      <c r="M37">
        <v>234</v>
      </c>
      <c r="N37">
        <v>1234</v>
      </c>
      <c r="O37" t="s">
        <v>24</v>
      </c>
      <c r="P37" t="s">
        <v>66</v>
      </c>
      <c r="Q37" t="s">
        <v>134</v>
      </c>
    </row>
    <row r="38" spans="1:17" x14ac:dyDescent="0.2">
      <c r="A38" s="1">
        <v>36</v>
      </c>
      <c r="B38" s="3" t="str">
        <f>_xlfn.CONCAT("BDQ_Rv0678_",A38)</f>
        <v>BDQ_Rv0678_36</v>
      </c>
      <c r="C38" t="s">
        <v>15</v>
      </c>
      <c r="D38" t="s">
        <v>16</v>
      </c>
      <c r="E38" t="s">
        <v>122</v>
      </c>
      <c r="F38">
        <v>0.48309178743961301</v>
      </c>
      <c r="G38" t="s">
        <v>123</v>
      </c>
      <c r="H38">
        <v>0</v>
      </c>
      <c r="I38">
        <v>0</v>
      </c>
      <c r="J38">
        <v>0</v>
      </c>
      <c r="K38">
        <v>0.02</v>
      </c>
      <c r="L38">
        <v>19</v>
      </c>
      <c r="M38">
        <v>274</v>
      </c>
      <c r="N38">
        <v>1274</v>
      </c>
      <c r="O38" t="s">
        <v>19</v>
      </c>
      <c r="P38" t="s">
        <v>124</v>
      </c>
      <c r="Q38" t="s">
        <v>125</v>
      </c>
    </row>
    <row r="39" spans="1:17" x14ac:dyDescent="0.2">
      <c r="A39" s="1">
        <v>37</v>
      </c>
      <c r="B39" s="3" t="str">
        <f>_xlfn.CONCAT("BDQ_Rv0678_",A39)</f>
        <v>BDQ_Rv0678_37</v>
      </c>
      <c r="C39" t="s">
        <v>15</v>
      </c>
      <c r="D39" t="s">
        <v>16</v>
      </c>
      <c r="E39" t="s">
        <v>200</v>
      </c>
      <c r="F39">
        <v>0.19323671497584499</v>
      </c>
      <c r="G39" t="s">
        <v>201</v>
      </c>
      <c r="H39">
        <v>3</v>
      </c>
      <c r="I39">
        <v>0</v>
      </c>
      <c r="J39">
        <v>0</v>
      </c>
      <c r="K39">
        <v>0</v>
      </c>
      <c r="L39">
        <v>1</v>
      </c>
      <c r="M39">
        <v>276</v>
      </c>
      <c r="N39">
        <v>1276</v>
      </c>
      <c r="O39" t="s">
        <v>19</v>
      </c>
      <c r="P39" t="s">
        <v>28</v>
      </c>
      <c r="Q39" t="s">
        <v>202</v>
      </c>
    </row>
    <row r="40" spans="1:17" x14ac:dyDescent="0.2">
      <c r="A40" s="1">
        <v>38</v>
      </c>
      <c r="B40" s="3" t="str">
        <f>_xlfn.CONCAT("BDQ_Rv0678_",A40)</f>
        <v>BDQ_Rv0678_38</v>
      </c>
      <c r="C40" t="s">
        <v>15</v>
      </c>
      <c r="D40" t="s">
        <v>16</v>
      </c>
      <c r="E40" t="s">
        <v>228</v>
      </c>
      <c r="F40">
        <v>1.2560386473429901</v>
      </c>
      <c r="G40" t="s">
        <v>229</v>
      </c>
      <c r="H40">
        <v>0</v>
      </c>
      <c r="I40">
        <v>0</v>
      </c>
      <c r="J40">
        <v>0</v>
      </c>
      <c r="K40">
        <v>0</v>
      </c>
      <c r="L40">
        <v>1</v>
      </c>
      <c r="M40">
        <v>286</v>
      </c>
      <c r="N40">
        <v>1286</v>
      </c>
      <c r="O40" t="s">
        <v>111</v>
      </c>
      <c r="P40" t="s">
        <v>39</v>
      </c>
      <c r="Q40" t="s">
        <v>230</v>
      </c>
    </row>
    <row r="41" spans="1:17" x14ac:dyDescent="0.2">
      <c r="A41" s="1">
        <v>39</v>
      </c>
      <c r="B41" s="3" t="str">
        <f>_xlfn.CONCAT("BDQ_Rv0678_",A41)</f>
        <v>BDQ_Rv0678_39</v>
      </c>
      <c r="C41" t="s">
        <v>15</v>
      </c>
      <c r="D41" t="s">
        <v>16</v>
      </c>
      <c r="E41" t="s">
        <v>228</v>
      </c>
      <c r="F41">
        <v>1.2560386473429901</v>
      </c>
      <c r="G41" t="s">
        <v>231</v>
      </c>
      <c r="H41">
        <v>0</v>
      </c>
      <c r="I41">
        <v>0</v>
      </c>
      <c r="J41">
        <v>0</v>
      </c>
      <c r="K41">
        <v>0.01</v>
      </c>
      <c r="L41">
        <v>8</v>
      </c>
      <c r="M41">
        <v>288</v>
      </c>
      <c r="N41">
        <v>1288</v>
      </c>
      <c r="O41" t="s">
        <v>32</v>
      </c>
      <c r="P41" t="s">
        <v>24</v>
      </c>
      <c r="Q41" t="s">
        <v>232</v>
      </c>
    </row>
    <row r="42" spans="1:17" x14ac:dyDescent="0.2">
      <c r="A42" s="1">
        <v>40</v>
      </c>
      <c r="B42" s="3" t="str">
        <f>_xlfn.CONCAT("BDQ_Rv0678_",A42)</f>
        <v>BDQ_Rv0678_40</v>
      </c>
      <c r="C42" t="s">
        <v>15</v>
      </c>
      <c r="D42" t="s">
        <v>16</v>
      </c>
      <c r="E42" t="s">
        <v>228</v>
      </c>
      <c r="F42">
        <v>1.2560386473429901</v>
      </c>
      <c r="G42" t="s">
        <v>233</v>
      </c>
      <c r="H42">
        <v>0</v>
      </c>
      <c r="I42">
        <v>0</v>
      </c>
      <c r="J42">
        <v>0</v>
      </c>
      <c r="K42">
        <v>0.01</v>
      </c>
      <c r="L42">
        <v>9</v>
      </c>
      <c r="M42">
        <v>291</v>
      </c>
      <c r="N42">
        <v>1291</v>
      </c>
      <c r="O42" t="s">
        <v>192</v>
      </c>
      <c r="P42" t="s">
        <v>39</v>
      </c>
      <c r="Q42" t="s">
        <v>234</v>
      </c>
    </row>
    <row r="43" spans="1:17" x14ac:dyDescent="0.2">
      <c r="A43" s="1">
        <v>41</v>
      </c>
      <c r="B43" s="3" t="str">
        <f>_xlfn.CONCAT("BDQ_Rv0678_",A43)</f>
        <v>BDQ_Rv0678_41</v>
      </c>
      <c r="C43" t="s">
        <v>15</v>
      </c>
      <c r="D43" t="s">
        <v>16</v>
      </c>
      <c r="E43" t="s">
        <v>91</v>
      </c>
      <c r="F43">
        <v>9.6618357487922704E-2</v>
      </c>
      <c r="G43" t="s">
        <v>92</v>
      </c>
      <c r="H43">
        <v>0</v>
      </c>
      <c r="I43">
        <v>0</v>
      </c>
      <c r="J43">
        <v>0</v>
      </c>
      <c r="K43">
        <v>0</v>
      </c>
      <c r="L43">
        <v>1</v>
      </c>
      <c r="M43">
        <v>324</v>
      </c>
      <c r="N43">
        <v>1324</v>
      </c>
      <c r="O43" t="s">
        <v>93</v>
      </c>
      <c r="P43" t="s">
        <v>39</v>
      </c>
      <c r="Q43" t="s">
        <v>94</v>
      </c>
    </row>
    <row r="44" spans="1:17" x14ac:dyDescent="0.2">
      <c r="A44" s="1">
        <v>42</v>
      </c>
      <c r="B44" s="3" t="str">
        <f>_xlfn.CONCAT("BDQ_Rv0678_",A44)</f>
        <v>BDQ_Rv0678_42</v>
      </c>
      <c r="C44" t="s">
        <v>15</v>
      </c>
      <c r="D44" t="s">
        <v>16</v>
      </c>
      <c r="E44" t="s">
        <v>119</v>
      </c>
      <c r="F44">
        <v>0.19323671497584499</v>
      </c>
      <c r="G44" t="s">
        <v>120</v>
      </c>
      <c r="H44">
        <v>3</v>
      </c>
      <c r="I44">
        <v>0</v>
      </c>
      <c r="J44">
        <v>0</v>
      </c>
      <c r="K44">
        <v>0</v>
      </c>
      <c r="L44">
        <v>2</v>
      </c>
      <c r="M44">
        <v>325</v>
      </c>
      <c r="N44">
        <v>1325</v>
      </c>
      <c r="O44" t="s">
        <v>39</v>
      </c>
      <c r="P44" t="s">
        <v>111</v>
      </c>
      <c r="Q44" t="s">
        <v>121</v>
      </c>
    </row>
    <row r="45" spans="1:17" x14ac:dyDescent="0.2">
      <c r="A45" s="1">
        <v>43</v>
      </c>
      <c r="B45" s="3" t="str">
        <f>_xlfn.CONCAT("BDQ_Rv0678_",A45)</f>
        <v>BDQ_Rv0678_43</v>
      </c>
      <c r="C45" t="s">
        <v>15</v>
      </c>
      <c r="D45" t="s">
        <v>16</v>
      </c>
      <c r="E45" t="s">
        <v>190</v>
      </c>
      <c r="F45">
        <v>0</v>
      </c>
      <c r="G45" t="s">
        <v>191</v>
      </c>
      <c r="H45">
        <v>0</v>
      </c>
      <c r="I45">
        <v>0</v>
      </c>
      <c r="J45">
        <v>0</v>
      </c>
      <c r="K45">
        <v>0</v>
      </c>
      <c r="L45">
        <v>1</v>
      </c>
      <c r="M45">
        <v>329</v>
      </c>
      <c r="N45">
        <v>1329</v>
      </c>
      <c r="O45" t="s">
        <v>192</v>
      </c>
      <c r="P45" t="s">
        <v>39</v>
      </c>
      <c r="Q45" t="s">
        <v>193</v>
      </c>
    </row>
    <row r="46" spans="1:17" x14ac:dyDescent="0.2">
      <c r="A46" s="1">
        <v>44</v>
      </c>
      <c r="B46" s="3" t="str">
        <f>_xlfn.CONCAT("BDQ_Rv0678_",A46)</f>
        <v>BDQ_Rv0678_44</v>
      </c>
      <c r="C46" t="s">
        <v>15</v>
      </c>
      <c r="D46" t="s">
        <v>16</v>
      </c>
      <c r="E46" t="s">
        <v>22</v>
      </c>
      <c r="F46">
        <v>0.19323671497584499</v>
      </c>
      <c r="G46" t="s">
        <v>23</v>
      </c>
      <c r="H46">
        <v>0</v>
      </c>
      <c r="I46">
        <v>0</v>
      </c>
      <c r="J46">
        <v>0</v>
      </c>
      <c r="K46">
        <v>0</v>
      </c>
      <c r="L46">
        <v>1</v>
      </c>
      <c r="M46">
        <v>337</v>
      </c>
      <c r="N46">
        <v>1337</v>
      </c>
      <c r="O46" t="s">
        <v>24</v>
      </c>
      <c r="P46" t="s">
        <v>19</v>
      </c>
      <c r="Q46" t="s">
        <v>25</v>
      </c>
    </row>
    <row r="47" spans="1:17" x14ac:dyDescent="0.2">
      <c r="A47" s="1">
        <v>45</v>
      </c>
      <c r="B47" s="3" t="str">
        <f>_xlfn.CONCAT("BDQ_Rv0678_",A47)</f>
        <v>BDQ_Rv0678_45</v>
      </c>
      <c r="C47" t="s">
        <v>15</v>
      </c>
      <c r="D47" t="s">
        <v>16</v>
      </c>
      <c r="E47" t="s">
        <v>113</v>
      </c>
      <c r="F47">
        <v>0.28985507246376802</v>
      </c>
      <c r="G47" t="s">
        <v>114</v>
      </c>
      <c r="H47">
        <v>3</v>
      </c>
      <c r="I47">
        <v>0</v>
      </c>
      <c r="J47">
        <v>0</v>
      </c>
      <c r="K47">
        <v>0.01</v>
      </c>
      <c r="L47">
        <v>9</v>
      </c>
      <c r="M47">
        <v>343</v>
      </c>
      <c r="N47">
        <v>1343</v>
      </c>
      <c r="O47" t="s">
        <v>39</v>
      </c>
      <c r="P47" t="s">
        <v>19</v>
      </c>
      <c r="Q47" t="s">
        <v>115</v>
      </c>
    </row>
    <row r="48" spans="1:17" x14ac:dyDescent="0.2">
      <c r="A48" s="1">
        <v>46</v>
      </c>
      <c r="B48" s="3" t="str">
        <f>_xlfn.CONCAT("BDQ_Rv0678_",A48)</f>
        <v>BDQ_Rv0678_46</v>
      </c>
      <c r="C48" t="s">
        <v>15</v>
      </c>
      <c r="D48" t="s">
        <v>16</v>
      </c>
      <c r="E48" t="s">
        <v>181</v>
      </c>
      <c r="F48">
        <v>0</v>
      </c>
      <c r="G48" t="s">
        <v>182</v>
      </c>
      <c r="H48">
        <v>0</v>
      </c>
      <c r="I48">
        <v>0</v>
      </c>
      <c r="J48">
        <v>0</v>
      </c>
      <c r="K48">
        <v>0</v>
      </c>
      <c r="L48">
        <v>1</v>
      </c>
      <c r="M48">
        <v>344</v>
      </c>
      <c r="N48">
        <v>1344</v>
      </c>
      <c r="O48" t="s">
        <v>97</v>
      </c>
      <c r="P48" t="s">
        <v>28</v>
      </c>
      <c r="Q48" t="s">
        <v>183</v>
      </c>
    </row>
    <row r="49" spans="1:17" x14ac:dyDescent="0.2">
      <c r="A49" s="1">
        <v>47</v>
      </c>
      <c r="B49" s="3" t="str">
        <f>_xlfn.CONCAT("BDQ_Rv0678_",A49)</f>
        <v>BDQ_Rv0678_47</v>
      </c>
      <c r="C49" t="s">
        <v>15</v>
      </c>
      <c r="D49" t="s">
        <v>16</v>
      </c>
      <c r="E49" t="s">
        <v>156</v>
      </c>
      <c r="F49">
        <v>9.6618357487922704E-2</v>
      </c>
      <c r="G49" t="s">
        <v>157</v>
      </c>
      <c r="H49">
        <v>0</v>
      </c>
      <c r="I49">
        <v>0</v>
      </c>
      <c r="J49">
        <v>0</v>
      </c>
      <c r="K49">
        <v>0</v>
      </c>
      <c r="L49">
        <v>1</v>
      </c>
      <c r="M49">
        <v>347</v>
      </c>
      <c r="N49">
        <v>1347</v>
      </c>
      <c r="O49" t="s">
        <v>28</v>
      </c>
      <c r="P49" t="s">
        <v>158</v>
      </c>
      <c r="Q49" t="s">
        <v>159</v>
      </c>
    </row>
    <row r="50" spans="1:17" x14ac:dyDescent="0.2">
      <c r="A50" s="1">
        <v>48</v>
      </c>
      <c r="B50" s="3" t="str">
        <f>_xlfn.CONCAT("BDQ_Rv0678_",A50)</f>
        <v>BDQ_Rv0678_48</v>
      </c>
      <c r="C50" t="s">
        <v>15</v>
      </c>
      <c r="D50" t="s">
        <v>16</v>
      </c>
      <c r="E50" t="s">
        <v>184</v>
      </c>
      <c r="F50">
        <v>0.77294685990338097</v>
      </c>
      <c r="G50" t="s">
        <v>185</v>
      </c>
      <c r="H50">
        <v>0</v>
      </c>
      <c r="I50">
        <v>0</v>
      </c>
      <c r="J50">
        <v>0</v>
      </c>
      <c r="K50">
        <v>0.04</v>
      </c>
      <c r="L50">
        <v>35</v>
      </c>
      <c r="M50">
        <v>350</v>
      </c>
      <c r="N50">
        <v>1350</v>
      </c>
      <c r="O50" t="s">
        <v>19</v>
      </c>
      <c r="P50" t="s">
        <v>24</v>
      </c>
      <c r="Q50" t="s">
        <v>186</v>
      </c>
    </row>
    <row r="51" spans="1:17" x14ac:dyDescent="0.2">
      <c r="A51" s="1">
        <v>49</v>
      </c>
      <c r="B51" s="3" t="str">
        <f>_xlfn.CONCAT("BDQ_Rv0678_",A51)</f>
        <v>BDQ_Rv0678_49</v>
      </c>
      <c r="C51" t="s">
        <v>15</v>
      </c>
      <c r="D51" t="s">
        <v>16</v>
      </c>
      <c r="E51" t="s">
        <v>26</v>
      </c>
      <c r="F51">
        <v>0.86956521739130399</v>
      </c>
      <c r="G51" t="s">
        <v>27</v>
      </c>
      <c r="H51">
        <v>0</v>
      </c>
      <c r="I51">
        <v>0</v>
      </c>
      <c r="J51">
        <v>0</v>
      </c>
      <c r="K51">
        <v>0.01</v>
      </c>
      <c r="L51">
        <v>7</v>
      </c>
      <c r="M51">
        <v>361</v>
      </c>
      <c r="N51">
        <v>1361</v>
      </c>
      <c r="O51" t="s">
        <v>24</v>
      </c>
      <c r="P51" t="s">
        <v>28</v>
      </c>
      <c r="Q51" t="s">
        <v>29</v>
      </c>
    </row>
    <row r="52" spans="1:17" x14ac:dyDescent="0.2">
      <c r="A52" s="1">
        <v>50</v>
      </c>
      <c r="B52" s="3" t="str">
        <f>_xlfn.CONCAT("BDQ_Rv0678_",A52)</f>
        <v>BDQ_Rv0678_50</v>
      </c>
      <c r="C52" t="s">
        <v>15</v>
      </c>
      <c r="D52" t="s">
        <v>16</v>
      </c>
      <c r="E52" t="s">
        <v>30</v>
      </c>
      <c r="F52">
        <v>0.19323671497584499</v>
      </c>
      <c r="G52" t="s">
        <v>31</v>
      </c>
      <c r="H52">
        <v>0</v>
      </c>
      <c r="I52">
        <v>0</v>
      </c>
      <c r="J52">
        <v>0</v>
      </c>
      <c r="K52">
        <v>0</v>
      </c>
      <c r="L52">
        <v>1</v>
      </c>
      <c r="M52">
        <v>372</v>
      </c>
      <c r="N52">
        <v>1372</v>
      </c>
      <c r="O52" t="s">
        <v>32</v>
      </c>
      <c r="P52" t="s">
        <v>19</v>
      </c>
      <c r="Q52" t="s">
        <v>33</v>
      </c>
    </row>
    <row r="53" spans="1:17" x14ac:dyDescent="0.2">
      <c r="A53" s="1">
        <v>51</v>
      </c>
      <c r="B53" s="3" t="str">
        <f>_xlfn.CONCAT("BDQ_Rv0678_",A53)</f>
        <v>BDQ_Rv0678_51</v>
      </c>
      <c r="C53" t="s">
        <v>15</v>
      </c>
      <c r="D53" t="s">
        <v>16</v>
      </c>
      <c r="E53" t="s">
        <v>160</v>
      </c>
      <c r="F53">
        <v>0.19323671497584499</v>
      </c>
      <c r="G53" t="s">
        <v>161</v>
      </c>
      <c r="H53">
        <v>0</v>
      </c>
      <c r="I53">
        <v>0</v>
      </c>
      <c r="J53">
        <v>0</v>
      </c>
      <c r="K53">
        <v>0.01</v>
      </c>
      <c r="L53">
        <v>9</v>
      </c>
      <c r="M53">
        <v>382</v>
      </c>
      <c r="N53">
        <v>1382</v>
      </c>
      <c r="O53" t="s">
        <v>32</v>
      </c>
      <c r="P53" t="s">
        <v>24</v>
      </c>
      <c r="Q53" t="s">
        <v>162</v>
      </c>
    </row>
    <row r="54" spans="1:17" x14ac:dyDescent="0.2">
      <c r="A54" s="1">
        <v>52</v>
      </c>
      <c r="B54" s="3" t="str">
        <f>_xlfn.CONCAT("BDQ_Rv0678_",A54)</f>
        <v>BDQ_Rv0678_52</v>
      </c>
      <c r="C54" t="s">
        <v>15</v>
      </c>
      <c r="D54" t="s">
        <v>16</v>
      </c>
      <c r="E54" t="s">
        <v>99</v>
      </c>
      <c r="F54">
        <v>0</v>
      </c>
      <c r="G54" t="s">
        <v>100</v>
      </c>
      <c r="H54">
        <v>0</v>
      </c>
      <c r="I54">
        <v>0</v>
      </c>
      <c r="J54">
        <v>0</v>
      </c>
      <c r="K54">
        <v>0</v>
      </c>
      <c r="L54">
        <v>4</v>
      </c>
      <c r="M54">
        <v>392</v>
      </c>
      <c r="N54">
        <v>1392</v>
      </c>
      <c r="O54" t="s">
        <v>28</v>
      </c>
      <c r="P54" t="s">
        <v>97</v>
      </c>
      <c r="Q54" t="s">
        <v>101</v>
      </c>
    </row>
    <row r="55" spans="1:17" x14ac:dyDescent="0.2">
      <c r="A55" s="1">
        <v>53</v>
      </c>
      <c r="B55" s="3" t="str">
        <f>_xlfn.CONCAT("BDQ_Rv0678_",A55)</f>
        <v>BDQ_Rv0678_53</v>
      </c>
      <c r="C55" t="s">
        <v>15</v>
      </c>
      <c r="D55" t="s">
        <v>16</v>
      </c>
      <c r="E55" t="s">
        <v>203</v>
      </c>
      <c r="F55">
        <v>9.6618357487922704E-2</v>
      </c>
      <c r="G55" t="s">
        <v>204</v>
      </c>
      <c r="H55">
        <v>0</v>
      </c>
      <c r="I55">
        <v>0</v>
      </c>
      <c r="J55">
        <v>0</v>
      </c>
      <c r="K55">
        <v>0.01</v>
      </c>
      <c r="L55">
        <v>9</v>
      </c>
      <c r="M55">
        <v>394</v>
      </c>
      <c r="N55">
        <v>1394</v>
      </c>
      <c r="O55" t="s">
        <v>39</v>
      </c>
      <c r="P55" t="s">
        <v>19</v>
      </c>
      <c r="Q55" t="s">
        <v>205</v>
      </c>
    </row>
    <row r="56" spans="1:17" x14ac:dyDescent="0.2">
      <c r="A56" s="1">
        <v>54</v>
      </c>
      <c r="B56" s="3" t="str">
        <f>_xlfn.CONCAT("BDQ_Rv0678_",A56)</f>
        <v>BDQ_Rv0678_54</v>
      </c>
      <c r="C56" t="s">
        <v>15</v>
      </c>
      <c r="D56" t="s">
        <v>16</v>
      </c>
      <c r="E56" t="s">
        <v>153</v>
      </c>
      <c r="F56">
        <v>9.6618357487922704E-2</v>
      </c>
      <c r="G56" t="s">
        <v>154</v>
      </c>
      <c r="H56">
        <v>0</v>
      </c>
      <c r="I56">
        <v>0</v>
      </c>
      <c r="J56">
        <v>0</v>
      </c>
      <c r="K56">
        <v>0</v>
      </c>
      <c r="L56">
        <v>1</v>
      </c>
      <c r="M56">
        <v>412</v>
      </c>
      <c r="N56">
        <v>1412</v>
      </c>
      <c r="O56" t="s">
        <v>24</v>
      </c>
      <c r="P56" t="s">
        <v>19</v>
      </c>
      <c r="Q56" t="s">
        <v>155</v>
      </c>
    </row>
    <row r="57" spans="1:17" x14ac:dyDescent="0.2">
      <c r="A57" s="1">
        <v>55</v>
      </c>
      <c r="B57" s="3" t="str">
        <f>_xlfn.CONCAT("BDQ_Rv0678_",A57)</f>
        <v>BDQ_Rv0678_55</v>
      </c>
      <c r="C57" t="s">
        <v>15</v>
      </c>
      <c r="D57" t="s">
        <v>16</v>
      </c>
      <c r="E57" t="s">
        <v>172</v>
      </c>
      <c r="F57">
        <v>0.19323671497584499</v>
      </c>
      <c r="G57" t="s">
        <v>173</v>
      </c>
      <c r="H57">
        <v>0</v>
      </c>
      <c r="I57">
        <v>3</v>
      </c>
      <c r="J57">
        <v>0</v>
      </c>
      <c r="K57">
        <v>0.02</v>
      </c>
      <c r="L57">
        <v>15</v>
      </c>
      <c r="M57">
        <v>418</v>
      </c>
      <c r="N57">
        <v>1418</v>
      </c>
      <c r="O57" t="s">
        <v>39</v>
      </c>
      <c r="P57" t="s">
        <v>111</v>
      </c>
      <c r="Q57" t="s">
        <v>174</v>
      </c>
    </row>
    <row r="58" spans="1:17" x14ac:dyDescent="0.2">
      <c r="A58" s="1">
        <v>56</v>
      </c>
      <c r="B58" s="3" t="str">
        <f>_xlfn.CONCAT("BDQ_Rv0678_",A58)</f>
        <v>BDQ_Rv0678_56</v>
      </c>
      <c r="C58" t="s">
        <v>15</v>
      </c>
      <c r="D58" t="s">
        <v>16</v>
      </c>
      <c r="E58" t="s">
        <v>172</v>
      </c>
      <c r="F58">
        <v>0.19323671497584499</v>
      </c>
      <c r="G58" t="s">
        <v>175</v>
      </c>
      <c r="H58">
        <v>0</v>
      </c>
      <c r="I58">
        <v>0</v>
      </c>
      <c r="J58">
        <v>0</v>
      </c>
      <c r="K58">
        <v>0</v>
      </c>
      <c r="L58">
        <v>2</v>
      </c>
      <c r="M58">
        <v>418</v>
      </c>
      <c r="N58">
        <v>1418</v>
      </c>
      <c r="O58" t="s">
        <v>176</v>
      </c>
      <c r="P58" t="s">
        <v>39</v>
      </c>
      <c r="Q58" t="s">
        <v>177</v>
      </c>
    </row>
    <row r="59" spans="1:17" x14ac:dyDescent="0.2">
      <c r="A59" s="1">
        <v>57</v>
      </c>
      <c r="B59" s="3" t="str">
        <f>_xlfn.CONCAT("BDQ_Rv0678_",A59)</f>
        <v>BDQ_Rv0678_57</v>
      </c>
      <c r="C59" t="s">
        <v>15</v>
      </c>
      <c r="D59" t="s">
        <v>16</v>
      </c>
      <c r="E59" t="s">
        <v>172</v>
      </c>
      <c r="F59">
        <v>0.19323671497584499</v>
      </c>
      <c r="G59" t="s">
        <v>178</v>
      </c>
      <c r="H59">
        <v>0</v>
      </c>
      <c r="I59">
        <v>0</v>
      </c>
      <c r="J59">
        <v>0</v>
      </c>
      <c r="K59">
        <v>0</v>
      </c>
      <c r="L59">
        <v>1</v>
      </c>
      <c r="M59">
        <v>421</v>
      </c>
      <c r="N59">
        <v>1421</v>
      </c>
      <c r="O59" t="s">
        <v>179</v>
      </c>
      <c r="P59" t="s">
        <v>28</v>
      </c>
      <c r="Q59" t="s">
        <v>180</v>
      </c>
    </row>
    <row r="60" spans="1:17" x14ac:dyDescent="0.2">
      <c r="A60" s="1">
        <v>58</v>
      </c>
      <c r="B60" s="3" t="str">
        <f>_xlfn.CONCAT("BDQ_Rv0678_",A60)</f>
        <v>BDQ_Rv0678_58</v>
      </c>
      <c r="C60" t="s">
        <v>15</v>
      </c>
      <c r="D60" t="s">
        <v>16</v>
      </c>
      <c r="E60" t="s">
        <v>126</v>
      </c>
      <c r="F60">
        <v>1.3526570048309099</v>
      </c>
      <c r="G60" t="s">
        <v>127</v>
      </c>
      <c r="H60">
        <v>3</v>
      </c>
      <c r="I60">
        <v>0</v>
      </c>
      <c r="J60">
        <v>0</v>
      </c>
      <c r="K60">
        <v>0</v>
      </c>
      <c r="L60">
        <v>1</v>
      </c>
      <c r="M60">
        <v>423</v>
      </c>
      <c r="N60">
        <v>1423</v>
      </c>
      <c r="O60" t="s">
        <v>19</v>
      </c>
      <c r="P60" t="s">
        <v>20</v>
      </c>
      <c r="Q60" t="s">
        <v>128</v>
      </c>
    </row>
    <row r="61" spans="1:17" x14ac:dyDescent="0.2">
      <c r="A61" s="1">
        <v>59</v>
      </c>
      <c r="B61" s="3" t="str">
        <f>_xlfn.CONCAT("BDQ_Rv0678_",A61)</f>
        <v>BDQ_Rv0678_59</v>
      </c>
      <c r="C61" t="s">
        <v>15</v>
      </c>
      <c r="D61" t="s">
        <v>16</v>
      </c>
      <c r="E61" t="s">
        <v>45</v>
      </c>
      <c r="F61">
        <v>0.19323671497584499</v>
      </c>
      <c r="G61" t="s">
        <v>46</v>
      </c>
      <c r="H61">
        <v>0</v>
      </c>
      <c r="I61">
        <v>0</v>
      </c>
      <c r="J61">
        <v>0</v>
      </c>
      <c r="K61">
        <v>0</v>
      </c>
      <c r="L61">
        <v>1</v>
      </c>
      <c r="M61">
        <v>426</v>
      </c>
      <c r="N61">
        <v>1426</v>
      </c>
      <c r="O61" t="s">
        <v>24</v>
      </c>
      <c r="P61" t="s">
        <v>47</v>
      </c>
      <c r="Q61" t="s">
        <v>48</v>
      </c>
    </row>
    <row r="62" spans="1:17" x14ac:dyDescent="0.2">
      <c r="A62" s="1">
        <v>60</v>
      </c>
      <c r="B62" s="3" t="str">
        <f>_xlfn.CONCAT("BDQ_Rv0678_",A62)</f>
        <v>BDQ_Rv0678_60</v>
      </c>
      <c r="C62" t="s">
        <v>15</v>
      </c>
      <c r="D62" t="s">
        <v>16</v>
      </c>
      <c r="E62" t="s">
        <v>52</v>
      </c>
      <c r="F62">
        <v>9.6618357487922704E-2</v>
      </c>
      <c r="G62" t="s">
        <v>53</v>
      </c>
      <c r="H62">
        <v>0</v>
      </c>
      <c r="I62">
        <v>0</v>
      </c>
      <c r="J62">
        <v>0</v>
      </c>
      <c r="K62">
        <v>0</v>
      </c>
      <c r="L62">
        <v>2</v>
      </c>
      <c r="M62">
        <v>428</v>
      </c>
      <c r="N62">
        <v>1428</v>
      </c>
      <c r="O62" t="s">
        <v>19</v>
      </c>
      <c r="P62" t="s">
        <v>54</v>
      </c>
      <c r="Q62" t="s">
        <v>55</v>
      </c>
    </row>
    <row r="63" spans="1:17" x14ac:dyDescent="0.2">
      <c r="A63" s="1">
        <v>61</v>
      </c>
      <c r="B63" s="3" t="str">
        <f>_xlfn.CONCAT("BDQ_Rv0678_",A63)</f>
        <v>BDQ_Rv0678_61</v>
      </c>
      <c r="C63" t="s">
        <v>15</v>
      </c>
      <c r="D63" t="s">
        <v>16</v>
      </c>
      <c r="E63" t="s">
        <v>52</v>
      </c>
      <c r="F63">
        <v>9.6618357487922704E-2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1</v>
      </c>
      <c r="M63">
        <v>428</v>
      </c>
      <c r="N63">
        <v>1428</v>
      </c>
      <c r="O63" t="s">
        <v>54</v>
      </c>
      <c r="P63" t="s">
        <v>19</v>
      </c>
      <c r="Q63" t="s">
        <v>57</v>
      </c>
    </row>
    <row r="64" spans="1:17" x14ac:dyDescent="0.2">
      <c r="A64" s="1">
        <v>62</v>
      </c>
      <c r="B64" s="3" t="str">
        <f>_xlfn.CONCAT("BDQ_Rv0678_",A64)</f>
        <v>BDQ_Rv0678_62</v>
      </c>
      <c r="C64" t="s">
        <v>15</v>
      </c>
      <c r="D64" t="s">
        <v>16</v>
      </c>
      <c r="E64" t="s">
        <v>45</v>
      </c>
      <c r="F64">
        <v>0.19323671497584499</v>
      </c>
      <c r="G64" t="s">
        <v>49</v>
      </c>
      <c r="H64">
        <v>0</v>
      </c>
      <c r="I64">
        <v>0</v>
      </c>
      <c r="J64">
        <v>0</v>
      </c>
      <c r="K64">
        <v>0</v>
      </c>
      <c r="L64">
        <v>2</v>
      </c>
      <c r="M64">
        <v>431</v>
      </c>
      <c r="N64">
        <v>1431</v>
      </c>
      <c r="O64" t="s">
        <v>39</v>
      </c>
      <c r="P64" t="s">
        <v>50</v>
      </c>
      <c r="Q64" t="s">
        <v>51</v>
      </c>
    </row>
    <row r="65" spans="1:17" x14ac:dyDescent="0.2">
      <c r="A65" s="1">
        <v>63</v>
      </c>
      <c r="B65" s="3" t="str">
        <f>_xlfn.CONCAT("BDQ_Rv0678_",A65)</f>
        <v>BDQ_Rv0678_63</v>
      </c>
      <c r="C65" t="s">
        <v>15</v>
      </c>
      <c r="D65" t="s">
        <v>16</v>
      </c>
      <c r="E65" t="s">
        <v>80</v>
      </c>
      <c r="F65">
        <v>9.6618357487922704E-2</v>
      </c>
      <c r="G65" t="s">
        <v>81</v>
      </c>
      <c r="H65">
        <v>0</v>
      </c>
      <c r="I65">
        <v>0</v>
      </c>
      <c r="J65">
        <v>0</v>
      </c>
      <c r="K65">
        <v>0</v>
      </c>
      <c r="L65">
        <v>1</v>
      </c>
      <c r="M65">
        <v>431</v>
      </c>
      <c r="N65">
        <v>1431</v>
      </c>
      <c r="O65" t="s">
        <v>39</v>
      </c>
      <c r="P65" t="s">
        <v>82</v>
      </c>
      <c r="Q65" t="s">
        <v>83</v>
      </c>
    </row>
    <row r="66" spans="1:17" x14ac:dyDescent="0.2">
      <c r="A66" s="1">
        <v>64</v>
      </c>
      <c r="B66" s="3" t="str">
        <f>_xlfn.CONCAT("BDQ_Rv0678_",A66)</f>
        <v>BDQ_Rv0678_64</v>
      </c>
      <c r="C66" t="s">
        <v>15</v>
      </c>
      <c r="D66" t="s">
        <v>16</v>
      </c>
      <c r="E66" t="s">
        <v>70</v>
      </c>
      <c r="F66">
        <v>9.6618357487922704E-2</v>
      </c>
      <c r="G66" t="s">
        <v>71</v>
      </c>
      <c r="H66">
        <v>0</v>
      </c>
      <c r="I66">
        <v>0</v>
      </c>
      <c r="J66">
        <v>0</v>
      </c>
      <c r="K66">
        <v>0</v>
      </c>
      <c r="L66">
        <v>2</v>
      </c>
      <c r="M66">
        <v>435</v>
      </c>
      <c r="N66">
        <v>1435</v>
      </c>
      <c r="O66" t="s">
        <v>19</v>
      </c>
      <c r="P66" t="s">
        <v>24</v>
      </c>
      <c r="Q66" t="s">
        <v>72</v>
      </c>
    </row>
    <row r="67" spans="1:17" x14ac:dyDescent="0.2">
      <c r="A67" s="1">
        <v>65</v>
      </c>
      <c r="B67" s="3" t="str">
        <f>_xlfn.CONCAT("BDQ_Rv0678_",A67)</f>
        <v>BDQ_Rv0678_65</v>
      </c>
      <c r="C67" t="s">
        <v>15</v>
      </c>
      <c r="D67" t="s">
        <v>16</v>
      </c>
      <c r="E67" t="s">
        <v>217</v>
      </c>
      <c r="F67">
        <v>1.06280193236714</v>
      </c>
      <c r="G67" t="s">
        <v>218</v>
      </c>
      <c r="H67">
        <v>3</v>
      </c>
      <c r="I67">
        <v>0</v>
      </c>
      <c r="J67">
        <v>0</v>
      </c>
      <c r="K67">
        <v>0.05</v>
      </c>
      <c r="L67">
        <v>42</v>
      </c>
      <c r="M67">
        <v>437</v>
      </c>
      <c r="N67">
        <v>1437</v>
      </c>
      <c r="O67" t="s">
        <v>19</v>
      </c>
      <c r="P67" t="s">
        <v>39</v>
      </c>
      <c r="Q67" t="s">
        <v>219</v>
      </c>
    </row>
    <row r="68" spans="1:17" x14ac:dyDescent="0.2">
      <c r="A68" s="1">
        <v>66</v>
      </c>
      <c r="B68" s="3" t="str">
        <f>_xlfn.CONCAT("BDQ_Rv0678_",A68)</f>
        <v>BDQ_Rv0678_66</v>
      </c>
      <c r="C68" t="s">
        <v>15</v>
      </c>
      <c r="D68" t="s">
        <v>16</v>
      </c>
      <c r="E68" t="s">
        <v>220</v>
      </c>
      <c r="F68">
        <v>0.28985507246376802</v>
      </c>
      <c r="G68" t="s">
        <v>221</v>
      </c>
      <c r="H68">
        <v>0</v>
      </c>
      <c r="I68">
        <v>0</v>
      </c>
      <c r="J68">
        <v>0</v>
      </c>
      <c r="K68">
        <v>0</v>
      </c>
      <c r="L68">
        <v>1</v>
      </c>
      <c r="M68">
        <v>441</v>
      </c>
      <c r="N68">
        <v>1441</v>
      </c>
      <c r="O68" t="s">
        <v>24</v>
      </c>
      <c r="P68" t="s">
        <v>143</v>
      </c>
      <c r="Q68" t="s">
        <v>222</v>
      </c>
    </row>
    <row r="69" spans="1:17" x14ac:dyDescent="0.2">
      <c r="A69" s="1">
        <v>67</v>
      </c>
      <c r="B69" s="3" t="str">
        <f>_xlfn.CONCAT("BDQ_Rv0678_",A69)</f>
        <v>BDQ_Rv0678_67</v>
      </c>
      <c r="C69" t="s">
        <v>15</v>
      </c>
      <c r="D69" t="s">
        <v>16</v>
      </c>
      <c r="E69" t="s">
        <v>220</v>
      </c>
      <c r="F69">
        <v>0.28985507246376802</v>
      </c>
      <c r="G69" t="s">
        <v>223</v>
      </c>
      <c r="H69">
        <v>0</v>
      </c>
      <c r="I69">
        <v>0</v>
      </c>
      <c r="J69">
        <v>0</v>
      </c>
      <c r="K69">
        <v>0</v>
      </c>
      <c r="L69">
        <v>1</v>
      </c>
      <c r="M69">
        <v>441</v>
      </c>
      <c r="N69">
        <v>1441</v>
      </c>
      <c r="O69" t="s">
        <v>143</v>
      </c>
      <c r="P69" t="s">
        <v>24</v>
      </c>
      <c r="Q69" t="s">
        <v>224</v>
      </c>
    </row>
    <row r="70" spans="1:17" x14ac:dyDescent="0.2">
      <c r="A70" s="1">
        <v>68</v>
      </c>
      <c r="B70" s="3" t="str">
        <f>_xlfn.CONCAT("BDQ_Rv0678_",A70)</f>
        <v>BDQ_Rv0678_68</v>
      </c>
      <c r="C70" t="s">
        <v>15</v>
      </c>
      <c r="D70" t="s">
        <v>16</v>
      </c>
      <c r="E70" t="s">
        <v>84</v>
      </c>
      <c r="F70">
        <v>0.48309178743961301</v>
      </c>
      <c r="G70" t="s">
        <v>85</v>
      </c>
      <c r="H70">
        <v>0</v>
      </c>
      <c r="I70">
        <v>0</v>
      </c>
      <c r="J70">
        <v>0</v>
      </c>
      <c r="K70">
        <v>0</v>
      </c>
      <c r="L70">
        <v>2</v>
      </c>
      <c r="M70">
        <v>461</v>
      </c>
      <c r="N70">
        <v>1461</v>
      </c>
      <c r="O70" t="s">
        <v>54</v>
      </c>
      <c r="P70" t="s">
        <v>19</v>
      </c>
      <c r="Q70" t="s">
        <v>86</v>
      </c>
    </row>
    <row r="71" spans="1:17" x14ac:dyDescent="0.2">
      <c r="A71" s="1">
        <v>69</v>
      </c>
      <c r="B71" s="3" t="str">
        <f>_xlfn.CONCAT("BDQ_Rv0678_",A71)</f>
        <v>BDQ_Rv0678_69</v>
      </c>
      <c r="C71" t="s">
        <v>15</v>
      </c>
      <c r="D71" t="s">
        <v>16</v>
      </c>
      <c r="E71" t="s">
        <v>84</v>
      </c>
      <c r="F71">
        <v>0.48309178743961301</v>
      </c>
      <c r="G71" t="s">
        <v>87</v>
      </c>
      <c r="H71">
        <v>0</v>
      </c>
      <c r="I71">
        <v>0</v>
      </c>
      <c r="J71">
        <v>0</v>
      </c>
      <c r="K71">
        <v>0</v>
      </c>
      <c r="L71">
        <v>2</v>
      </c>
      <c r="M71">
        <v>464</v>
      </c>
      <c r="N71">
        <v>1464</v>
      </c>
      <c r="O71" t="s">
        <v>24</v>
      </c>
      <c r="P71" t="s">
        <v>32</v>
      </c>
      <c r="Q71" t="s">
        <v>88</v>
      </c>
    </row>
    <row r="72" spans="1:17" x14ac:dyDescent="0.2">
      <c r="A72" s="1">
        <v>70</v>
      </c>
      <c r="B72" s="3" t="str">
        <f>_xlfn.CONCAT("BDQ_Rv0678_",A72)</f>
        <v>BDQ_Rv0678_70</v>
      </c>
      <c r="C72" t="s">
        <v>15</v>
      </c>
      <c r="D72" t="s">
        <v>16</v>
      </c>
      <c r="E72" t="s">
        <v>102</v>
      </c>
      <c r="F72">
        <v>0.48309178743961301</v>
      </c>
      <c r="G72" t="s">
        <v>103</v>
      </c>
      <c r="H72">
        <v>0</v>
      </c>
      <c r="I72">
        <v>0</v>
      </c>
      <c r="J72">
        <v>0</v>
      </c>
      <c r="K72">
        <v>0</v>
      </c>
      <c r="L72">
        <v>2</v>
      </c>
      <c r="M72">
        <v>464</v>
      </c>
      <c r="N72">
        <v>1464</v>
      </c>
      <c r="O72" t="s">
        <v>24</v>
      </c>
      <c r="P72" t="s">
        <v>104</v>
      </c>
      <c r="Q72" t="s">
        <v>105</v>
      </c>
    </row>
    <row r="73" spans="1:17" x14ac:dyDescent="0.2">
      <c r="A73" s="1">
        <v>71</v>
      </c>
      <c r="B73" s="3" t="str">
        <f>_xlfn.CONCAT("BDQ_Rv0678_",A73)</f>
        <v>BDQ_Rv0678_71</v>
      </c>
      <c r="C73" t="s">
        <v>15</v>
      </c>
      <c r="D73" t="s">
        <v>16</v>
      </c>
      <c r="E73" t="s">
        <v>84</v>
      </c>
      <c r="F73">
        <v>0.48309178743961301</v>
      </c>
      <c r="G73" t="s">
        <v>89</v>
      </c>
      <c r="H73">
        <v>3</v>
      </c>
      <c r="I73">
        <v>0</v>
      </c>
      <c r="J73">
        <v>0</v>
      </c>
      <c r="K73">
        <v>0.01</v>
      </c>
      <c r="L73">
        <v>11</v>
      </c>
      <c r="M73">
        <v>465</v>
      </c>
      <c r="N73">
        <v>1465</v>
      </c>
      <c r="O73" t="s">
        <v>24</v>
      </c>
      <c r="P73" t="s">
        <v>32</v>
      </c>
      <c r="Q73" t="s">
        <v>90</v>
      </c>
    </row>
    <row r="74" spans="1:17" x14ac:dyDescent="0.2">
      <c r="A74" s="1">
        <v>72</v>
      </c>
      <c r="B74" s="3" t="str">
        <f>_xlfn.CONCAT("BDQ_Rv0678_",A74)</f>
        <v>BDQ_Rv0678_72</v>
      </c>
      <c r="C74" t="s">
        <v>15</v>
      </c>
      <c r="D74" t="s">
        <v>16</v>
      </c>
      <c r="E74" t="s">
        <v>135</v>
      </c>
      <c r="F74">
        <v>0.19323671497584499</v>
      </c>
      <c r="G74" t="s">
        <v>136</v>
      </c>
      <c r="H74">
        <v>0</v>
      </c>
      <c r="I74">
        <v>0</v>
      </c>
      <c r="J74">
        <v>0</v>
      </c>
      <c r="K74">
        <v>0.01</v>
      </c>
      <c r="L74">
        <v>10</v>
      </c>
      <c r="M74">
        <v>466</v>
      </c>
      <c r="N74">
        <v>1466</v>
      </c>
      <c r="O74" t="s">
        <v>39</v>
      </c>
      <c r="P74" t="s">
        <v>19</v>
      </c>
      <c r="Q74" t="s">
        <v>137</v>
      </c>
    </row>
    <row r="75" spans="1:17" x14ac:dyDescent="0.2">
      <c r="A75" s="1">
        <v>73</v>
      </c>
      <c r="B75" s="3" t="str">
        <f>_xlfn.CONCAT("BDQ_Rv0678_",A75)</f>
        <v>BDQ_Rv0678_73</v>
      </c>
      <c r="C75" t="s">
        <v>15</v>
      </c>
      <c r="D75" t="s">
        <v>16</v>
      </c>
      <c r="E75" t="s">
        <v>225</v>
      </c>
      <c r="F75">
        <v>0.19323671497584499</v>
      </c>
      <c r="G75" t="s">
        <v>226</v>
      </c>
      <c r="H75">
        <v>0</v>
      </c>
      <c r="I75">
        <v>0</v>
      </c>
      <c r="J75">
        <v>0</v>
      </c>
      <c r="K75">
        <v>0</v>
      </c>
      <c r="L75">
        <v>1</v>
      </c>
      <c r="M75">
        <v>471</v>
      </c>
      <c r="N75">
        <v>1471</v>
      </c>
      <c r="O75" t="s">
        <v>39</v>
      </c>
      <c r="P75" t="s">
        <v>24</v>
      </c>
      <c r="Q75" t="s">
        <v>227</v>
      </c>
    </row>
    <row r="76" spans="1:17" x14ac:dyDescent="0.2">
      <c r="A76" s="1">
        <v>74</v>
      </c>
      <c r="B76" s="3" t="str">
        <f>_xlfn.CONCAT("BDQ_Rv0678_",A76)</f>
        <v>BDQ_Rv0678_74</v>
      </c>
      <c r="C76" t="s">
        <v>15</v>
      </c>
      <c r="D76" t="s">
        <v>16</v>
      </c>
      <c r="E76" t="s">
        <v>34</v>
      </c>
      <c r="F76">
        <v>0.38647342995168998</v>
      </c>
      <c r="G76" t="s">
        <v>35</v>
      </c>
      <c r="H76">
        <v>0</v>
      </c>
      <c r="I76">
        <v>0</v>
      </c>
      <c r="J76">
        <v>0</v>
      </c>
      <c r="K76">
        <v>0</v>
      </c>
      <c r="L76">
        <v>1</v>
      </c>
      <c r="M76">
        <v>490</v>
      </c>
      <c r="N76">
        <v>1490</v>
      </c>
      <c r="O76" t="s">
        <v>24</v>
      </c>
      <c r="P76" t="s">
        <v>36</v>
      </c>
      <c r="Q76" t="s">
        <v>37</v>
      </c>
    </row>
    <row r="77" spans="1:17" x14ac:dyDescent="0.2">
      <c r="A77" s="1">
        <v>75</v>
      </c>
      <c r="B77" s="3" t="str">
        <f>_xlfn.CONCAT("BDQ_Rv0678_",A77)</f>
        <v>BDQ_Rv0678_75</v>
      </c>
      <c r="C77" t="s">
        <v>15</v>
      </c>
      <c r="D77" t="s">
        <v>16</v>
      </c>
      <c r="E77" t="s">
        <v>34</v>
      </c>
      <c r="F77">
        <v>0.38647342995168998</v>
      </c>
      <c r="G77" t="s">
        <v>38</v>
      </c>
      <c r="H77">
        <v>0</v>
      </c>
      <c r="I77">
        <v>0</v>
      </c>
      <c r="J77">
        <v>0</v>
      </c>
      <c r="K77">
        <v>0</v>
      </c>
      <c r="L77">
        <v>1</v>
      </c>
      <c r="M77">
        <v>492</v>
      </c>
      <c r="N77">
        <v>1492</v>
      </c>
      <c r="O77" t="s">
        <v>39</v>
      </c>
      <c r="P77" t="s">
        <v>40</v>
      </c>
      <c r="Q77" t="s">
        <v>41</v>
      </c>
    </row>
  </sheetData>
  <autoFilter ref="A1:Q77" xr:uid="{00000000-0001-0000-0000-000000000000}">
    <sortState xmlns:xlrd2="http://schemas.microsoft.com/office/spreadsheetml/2017/richdata2" ref="A2:Q77">
      <sortCondition ref="N1:N7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Soonwoo Hong</cp:lastModifiedBy>
  <dcterms:created xsi:type="dcterms:W3CDTF">2025-10-01T18:17:35Z</dcterms:created>
  <dcterms:modified xsi:type="dcterms:W3CDTF">2025-11-03T22:05:54Z</dcterms:modified>
</cp:coreProperties>
</file>